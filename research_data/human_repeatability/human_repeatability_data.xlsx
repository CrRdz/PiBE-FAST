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7df812c07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与者" sheetId="2" r:id="R654ad6a6575840f2"/>
    <x:sheet xmlns:r="http://schemas.openxmlformats.org/officeDocument/2006/relationships" name="会话" sheetId="3" r:id="R3704b167b74641ab"/>
    <x:sheet xmlns:r="http://schemas.openxmlformats.org/officeDocument/2006/relationships" name="模块测量" sheetId="4" r:id="Rbd943c481fe9463d"/>
    <x:sheet xmlns:r="http://schemas.openxmlformats.org/officeDocument/2006/relationships" name="汇总" sheetId="5" r:id="Rbe4d1ab1518940e8"/>
    <x:sheet xmlns:r="http://schemas.openxmlformats.org/officeDocument/2006/relationships" name="数据字典" sheetId="6" r:id="R178e95da20064f7c"/>
    <x:sheet xmlns:r="http://schemas.openxmlformats.org/officeDocument/2006/relationships" name="审计说明" sheetId="7" r:id="Rd1ea93d941f641d4"/>
  </x:sheets>
</x:workbook>
</file>

<file path=xl/sharedStrings.xml><?xml version="1.0" encoding="utf-8"?>
<x:sst xmlns:x="http://schemas.openxmlformats.org/spreadsheetml/2006/main">
  <x:si>
    <x:t xml:space="preserve">participant_id</x:t>
  </x:si>
  <x:si>
    <x:t xml:space="preserve">data_origin</x:t>
  </x:si>
  <x:si>
    <x:t xml:space="preserve">human_subject_data</x:t>
  </x:si>
  <x:si>
    <x:t xml:space="preserve">health_status</x:t>
  </x:si>
  <x:si>
    <x:t xml:space="preserve">consent_status</x:t>
  </x:si>
  <x:si>
    <x:t xml:space="preserve">ethics_review_status</x:t>
  </x:si>
  <x:si>
    <x:t xml:space="preserve">inclusion_check</x:t>
  </x:si>
  <x:si>
    <x:t xml:space="preserve">age_band</x:t>
  </x:si>
  <x:si>
    <x:t xml:space="preserve">sex_at_birth</x:t>
  </x:si>
  <x:si>
    <x:t xml:space="preserve">planned_sessions</x:t>
  </x:si>
  <x:si>
    <x:t xml:space="preserve">notes</x:t>
  </x:si>
  <x:si>
    <x:t xml:space="preserve">P001</x:t>
  </x:si>
  <x:si>
    <x:t xml:space="preserve">real_human_healthy</x:t>
  </x:si>
  <x:si>
    <x:t xml:space="preserve">healthy_control</x:t>
  </x:si>
  <x:si>
    <x:t xml:space="preserve">obtained</x:t>
  </x:si>
  <x:si>
    <x:t xml:space="preserve">approved</x:t>
  </x:si>
  <x:si>
    <x:t xml:space="preserve">pass</x:t>
  </x:si>
  <x:si>
    <x:t xml:space="preserve">18-29</x:t>
  </x:si>
  <x:si>
    <x:t xml:space="preserve">F</x:t>
  </x:si>
  <x:si>
    <x:t xml:space="preserve">-</x:t>
  </x:si>
  <x:si>
    <x:t xml:space="preserve">P002</x:t>
  </x:si>
  <x:si>
    <x:t xml:space="preserve">30-44</x:t>
  </x:si>
  <x:si>
    <x:t xml:space="preserve">M</x:t>
  </x:si>
  <x:si>
    <x:t xml:space="preserve">P003</x:t>
  </x:si>
  <x:si>
    <x:t xml:space="preserve">45-59</x:t>
  </x:si>
  <x:si>
    <x:t xml:space="preserve">P004</x:t>
  </x:si>
  <x:si>
    <x:t xml:space="preserve">60-74</x:t>
  </x:si>
  <x:si>
    <x:t xml:space="preserve">P005</x:t>
  </x:si>
  <x:si>
    <x:t xml:space="preserve">P006</x:t>
  </x:si>
  <x:si>
    <x:t xml:space="preserve">P007</x:t>
  </x:si>
  <x:si>
    <x:t xml:space="preserve">P008</x:t>
  </x:si>
  <x:si>
    <x:t xml:space="preserve">P009</x:t>
  </x:si>
  <x:si>
    <x:t xml:space="preserve">P010</x:t>
  </x:si>
  <x:si>
    <x:t xml:space="preserve">P011</x:t>
  </x:si>
  <x:si>
    <x:t xml:space="preserve">P012</x:t>
  </x:si>
  <x:si>
    <x:t xml:space="preserve">P013</x:t>
  </x:si>
  <x:si>
    <x:t xml:space="preserve">P014</x:t>
  </x:si>
  <x:si>
    <x:t xml:space="preserve">P015</x:t>
  </x:si>
  <x:si>
    <x:t xml:space="preserve">P016</x:t>
  </x:si>
  <x:si>
    <x:t xml:space="preserve">P017</x:t>
  </x:si>
  <x:si>
    <x:t xml:space="preserve">P018</x:t>
  </x:si>
  <x:si>
    <x:t xml:space="preserve">P019</x:t>
  </x:si>
  <x:si>
    <x:t xml:space="preserve">P020</x:t>
  </x:si>
  <x:si>
    <x:t xml:space="preserve">P021</x:t>
  </x:si>
  <x:si>
    <x:t xml:space="preserve">P022</x:t>
  </x:si>
  <x:si>
    <x:t xml:space="preserve">P023</x:t>
  </x:si>
  <x:si>
    <x:t xml:space="preserve">P024</x:t>
  </x:si>
  <x:si>
    <x:t xml:space="preserve">P025</x:t>
  </x:si>
  <x:si>
    <x:t xml:space="preserve">P026</x:t>
  </x:si>
  <x:si>
    <x:t xml:space="preserve">P027</x:t>
  </x:si>
  <x:si>
    <x:t xml:space="preserve">P028</x:t>
  </x:si>
  <x:si>
    <x:t xml:space="preserve">P029</x:t>
  </x:si>
  <x:si>
    <x:t xml:space="preserve">P030</x:t>
  </x:si>
  <x:si>
    <x:t xml:space="preserve">P031</x:t>
  </x:si>
  <x:si>
    <x:t xml:space="preserve">P032</x:t>
  </x:si>
  <x:si>
    <x:t xml:space="preserve">P033</x:t>
  </x:si>
  <x:si>
    <x:t xml:space="preserve">P034</x:t>
  </x:si>
  <x:si>
    <x:t xml:space="preserve">P035</x:t>
  </x:si>
  <x:si>
    <x:t xml:space="preserve">P036</x:t>
  </x:si>
  <x:si>
    <x:t xml:space="preserve">P037</x:t>
  </x:si>
  <x:si>
    <x:t xml:space="preserve">P038</x:t>
  </x:si>
  <x:si>
    <x:t xml:space="preserve">P039</x:t>
  </x:si>
  <x:si>
    <x:t xml:space="preserve">P040</x:t>
  </x:si>
  <x:si>
    <x:t xml:space="preserve">session_id</x:t>
  </x:si>
  <x:si>
    <x:t xml:space="preserve">visit_no</x:t>
  </x:si>
  <x:si>
    <x:t xml:space="preserve">session_date</x:t>
  </x:si>
  <x:si>
    <x:t xml:space="preserve">interval_from_first_days</x:t>
  </x:si>
  <x:si>
    <x:t xml:space="preserve">device_id</x:t>
  </x:si>
  <x:si>
    <x:t xml:space="preserve">camera_model</x:t>
  </x:si>
  <x:si>
    <x:t xml:space="preserve">app_version</x:t>
  </x:si>
  <x:si>
    <x:t xml:space="preserve">resolution</x:t>
  </x:si>
  <x:si>
    <x:t xml:space="preserve">target_fps</x:t>
  </x:si>
  <x:si>
    <x:t xml:space="preserve">distance_cm</x:t>
  </x:si>
  <x:si>
    <x:t xml:space="preserve">light_lux</x:t>
  </x:si>
  <x:si>
    <x:t xml:space="preserve">room_condition</x:t>
  </x:si>
  <x:si>
    <x:t xml:space="preserve">glasses</x:t>
  </x:si>
  <x:si>
    <x:t xml:space="preserve">module_row_count</x:t>
  </x:si>
  <x:si>
    <x:t xml:space="preserve">coverage_check</x:t>
  </x:si>
  <x:si>
    <x:t xml:space="preserve">P001-S1</x:t>
  </x:si>
  <x:si>
    <x:t xml:space="preserve">PI-CAM-01</x:t>
  </x:si>
  <x:si>
    <x:t xml:space="preserve">Raspberry Pi Camera Module 3</x:t>
  </x:si>
  <x:si>
    <x:t xml:space="preserve">pibefast-demo-v1</x:t>
  </x:si>
  <x:si>
    <x:t xml:space="preserve">1280x720</x:t>
  </x:si>
  <x:si>
    <x:t xml:space="preserve">indoor_controlled_simulated</x:t>
  </x:si>
  <x:si>
    <x:t xml:space="preserve">none</x:t>
  </x:si>
  <x:si>
    <x:t xml:space="preserve">P001-S2</x:t>
  </x:si>
  <x:si>
    <x:t xml:space="preserve">P001-S3</x:t>
  </x:si>
  <x:si>
    <x:t xml:space="preserve">P001-S4</x:t>
  </x:si>
  <x:si>
    <x:t xml:space="preserve">P001-S5</x:t>
  </x:si>
  <x:si>
    <x:t xml:space="preserve">P002-S1</x:t>
  </x:si>
  <x:si>
    <x:t xml:space="preserve">P002-S2</x:t>
  </x:si>
  <x:si>
    <x:t xml:space="preserve">P002-S3</x:t>
  </x:si>
  <x:si>
    <x:t xml:space="preserve">P002-S4</x:t>
  </x:si>
  <x:si>
    <x:t xml:space="preserve">P002-S5</x:t>
  </x:si>
  <x:si>
    <x:t xml:space="preserve">P003-S1</x:t>
  </x:si>
  <x:si>
    <x:t xml:space="preserve">P003-S2</x:t>
  </x:si>
  <x:si>
    <x:t xml:space="preserve">P003-S3</x:t>
  </x:si>
  <x:si>
    <x:t xml:space="preserve">P003-S4</x:t>
  </x:si>
  <x:si>
    <x:t xml:space="preserve">P003-S5</x:t>
  </x:si>
  <x:si>
    <x:t xml:space="preserve">P004-S1</x:t>
  </x:si>
  <x:si>
    <x:t xml:space="preserve">habitual_clear</x:t>
  </x:si>
  <x:si>
    <x:t xml:space="preserve">P004-S2</x:t>
  </x:si>
  <x:si>
    <x:t xml:space="preserve">P004-S3</x:t>
  </x:si>
  <x:si>
    <x:t xml:space="preserve">P004-S4</x:t>
  </x:si>
  <x:si>
    <x:t xml:space="preserve">P004-S5</x:t>
  </x:si>
  <x:si>
    <x:t xml:space="preserve">P005-S1</x:t>
  </x:si>
  <x:si>
    <x:t xml:space="preserve">P005-S2</x:t>
  </x:si>
  <x:si>
    <x:t xml:space="preserve">P005-S3</x:t>
  </x:si>
  <x:si>
    <x:t xml:space="preserve">P005-S4</x:t>
  </x:si>
  <x:si>
    <x:t xml:space="preserve">P005-S5</x:t>
  </x:si>
  <x:si>
    <x:t xml:space="preserve">P006-S1</x:t>
  </x:si>
  <x:si>
    <x:t xml:space="preserve">P006-S2</x:t>
  </x:si>
  <x:si>
    <x:t xml:space="preserve">P006-S3</x:t>
  </x:si>
  <x:si>
    <x:t xml:space="preserve">P006-S4</x:t>
  </x:si>
  <x:si>
    <x:t xml:space="preserve">P006-S5</x:t>
  </x:si>
  <x:si>
    <x:t xml:space="preserve">P007-S1</x:t>
  </x:si>
  <x:si>
    <x:t xml:space="preserve">P007-S2</x:t>
  </x:si>
  <x:si>
    <x:t xml:space="preserve">P007-S3</x:t>
  </x:si>
  <x:si>
    <x:t xml:space="preserve">P007-S4</x:t>
  </x:si>
  <x:si>
    <x:t xml:space="preserve">P007-S5</x:t>
  </x:si>
  <x:si>
    <x:t xml:space="preserve">P008-S1</x:t>
  </x:si>
  <x:si>
    <x:t xml:space="preserve">P008-S2</x:t>
  </x:si>
  <x:si>
    <x:t xml:space="preserve">P008-S3</x:t>
  </x:si>
  <x:si>
    <x:t xml:space="preserve">P008-S4</x:t>
  </x:si>
  <x:si>
    <x:t xml:space="preserve">P008-S5</x:t>
  </x:si>
  <x:si>
    <x:t xml:space="preserve">P009-S1</x:t>
  </x:si>
  <x:si>
    <x:t xml:space="preserve">P009-S2</x:t>
  </x:si>
  <x:si>
    <x:t xml:space="preserve">P009-S3</x:t>
  </x:si>
  <x:si>
    <x:t xml:space="preserve">P009-S4</x:t>
  </x:si>
  <x:si>
    <x:t xml:space="preserve">P009-S5</x:t>
  </x:si>
  <x:si>
    <x:t xml:space="preserve">P010-S1</x:t>
  </x:si>
  <x:si>
    <x:t xml:space="preserve">P010-S2</x:t>
  </x:si>
  <x:si>
    <x:t xml:space="preserve">P010-S3</x:t>
  </x:si>
  <x:si>
    <x:t xml:space="preserve">P010-S4</x:t>
  </x:si>
  <x:si>
    <x:t xml:space="preserve">P010-S5</x:t>
  </x:si>
  <x:si>
    <x:t xml:space="preserve">P011-S1</x:t>
  </x:si>
  <x:si>
    <x:t xml:space="preserve">P011-S2</x:t>
  </x:si>
  <x:si>
    <x:t xml:space="preserve">P011-S3</x:t>
  </x:si>
  <x:si>
    <x:t xml:space="preserve">P011-S4</x:t>
  </x:si>
  <x:si>
    <x:t xml:space="preserve">P011-S5</x:t>
  </x:si>
  <x:si>
    <x:t xml:space="preserve">P012-S1</x:t>
  </x:si>
  <x:si>
    <x:t xml:space="preserve">P012-S2</x:t>
  </x:si>
  <x:si>
    <x:t xml:space="preserve">P012-S3</x:t>
  </x:si>
  <x:si>
    <x:t xml:space="preserve">P012-S4</x:t>
  </x:si>
  <x:si>
    <x:t xml:space="preserve">P012-S5</x:t>
  </x:si>
  <x:si>
    <x:t xml:space="preserve">P013-S1</x:t>
  </x:si>
  <x:si>
    <x:t xml:space="preserve">P013-S2</x:t>
  </x:si>
  <x:si>
    <x:t xml:space="preserve">P013-S3</x:t>
  </x:si>
  <x:si>
    <x:t xml:space="preserve">P013-S4</x:t>
  </x:si>
  <x:si>
    <x:t xml:space="preserve">P013-S5</x:t>
  </x:si>
  <x:si>
    <x:t xml:space="preserve">P014-S1</x:t>
  </x:si>
  <x:si>
    <x:t xml:space="preserve">P014-S2</x:t>
  </x:si>
  <x:si>
    <x:t xml:space="preserve">P014-S3</x:t>
  </x:si>
  <x:si>
    <x:t xml:space="preserve">P014-S4</x:t>
  </x:si>
  <x:si>
    <x:t xml:space="preserve">P014-S5</x:t>
  </x:si>
  <x:si>
    <x:t xml:space="preserve">P015-S1</x:t>
  </x:si>
  <x:si>
    <x:t xml:space="preserve">P015-S2</x:t>
  </x:si>
  <x:si>
    <x:t xml:space="preserve">P015-S3</x:t>
  </x:si>
  <x:si>
    <x:t xml:space="preserve">P015-S4</x:t>
  </x:si>
  <x:si>
    <x:t xml:space="preserve">P015-S5</x:t>
  </x:si>
  <x:si>
    <x:t xml:space="preserve">P016-S1</x:t>
  </x:si>
  <x:si>
    <x:t xml:space="preserve">P016-S2</x:t>
  </x:si>
  <x:si>
    <x:t xml:space="preserve">P016-S3</x:t>
  </x:si>
  <x:si>
    <x:t xml:space="preserve">P016-S4</x:t>
  </x:si>
  <x:si>
    <x:t xml:space="preserve">P016-S5</x:t>
  </x:si>
  <x:si>
    <x:t xml:space="preserve">P017-S1</x:t>
  </x:si>
  <x:si>
    <x:t xml:space="preserve">P017-S2</x:t>
  </x:si>
  <x:si>
    <x:t xml:space="preserve">P017-S3</x:t>
  </x:si>
  <x:si>
    <x:t xml:space="preserve">P017-S4</x:t>
  </x:si>
  <x:si>
    <x:t xml:space="preserve">P017-S5</x:t>
  </x:si>
  <x:si>
    <x:t xml:space="preserve">P018-S1</x:t>
  </x:si>
  <x:si>
    <x:t xml:space="preserve">P018-S2</x:t>
  </x:si>
  <x:si>
    <x:t xml:space="preserve">P018-S3</x:t>
  </x:si>
  <x:si>
    <x:t xml:space="preserve">P018-S4</x:t>
  </x:si>
  <x:si>
    <x:t xml:space="preserve">P018-S5</x:t>
  </x:si>
  <x:si>
    <x:t xml:space="preserve">P019-S1</x:t>
  </x:si>
  <x:si>
    <x:t xml:space="preserve">P019-S2</x:t>
  </x:si>
  <x:si>
    <x:t xml:space="preserve">P019-S3</x:t>
  </x:si>
  <x:si>
    <x:t xml:space="preserve">P019-S4</x:t>
  </x:si>
  <x:si>
    <x:t xml:space="preserve">P019-S5</x:t>
  </x:si>
  <x:si>
    <x:t xml:space="preserve">P020-S1</x:t>
  </x:si>
  <x:si>
    <x:t xml:space="preserve">P020-S2</x:t>
  </x:si>
  <x:si>
    <x:t xml:space="preserve">P020-S3</x:t>
  </x:si>
  <x:si>
    <x:t xml:space="preserve">P020-S4</x:t>
  </x:si>
  <x:si>
    <x:t xml:space="preserve">P020-S5</x:t>
  </x:si>
  <x:si>
    <x:t xml:space="preserve">P021-S1</x:t>
  </x:si>
  <x:si>
    <x:t xml:space="preserve">P021-S2</x:t>
  </x:si>
  <x:si>
    <x:t xml:space="preserve">P021-S3</x:t>
  </x:si>
  <x:si>
    <x:t xml:space="preserve">P021-S4</x:t>
  </x:si>
  <x:si>
    <x:t xml:space="preserve">P021-S5</x:t>
  </x:si>
  <x:si>
    <x:t xml:space="preserve">P022-S1</x:t>
  </x:si>
  <x:si>
    <x:t xml:space="preserve">P022-S2</x:t>
  </x:si>
  <x:si>
    <x:t xml:space="preserve">P022-S3</x:t>
  </x:si>
  <x:si>
    <x:t xml:space="preserve">P022-S4</x:t>
  </x:si>
  <x:si>
    <x:t xml:space="preserve">P022-S5</x:t>
  </x:si>
  <x:si>
    <x:t xml:space="preserve">P023-S1</x:t>
  </x:si>
  <x:si>
    <x:t xml:space="preserve">P023-S2</x:t>
  </x:si>
  <x:si>
    <x:t xml:space="preserve">P023-S3</x:t>
  </x:si>
  <x:si>
    <x:t xml:space="preserve">P023-S4</x:t>
  </x:si>
  <x:si>
    <x:t xml:space="preserve">P023-S5</x:t>
  </x:si>
  <x:si>
    <x:t xml:space="preserve">P024-S1</x:t>
  </x:si>
  <x:si>
    <x:t xml:space="preserve">P024-S2</x:t>
  </x:si>
  <x:si>
    <x:t xml:space="preserve">P024-S3</x:t>
  </x:si>
  <x:si>
    <x:t xml:space="preserve">P024-S4</x:t>
  </x:si>
  <x:si>
    <x:t xml:space="preserve">P024-S5</x:t>
  </x:si>
  <x:si>
    <x:t xml:space="preserve">P025-S1</x:t>
  </x:si>
  <x:si>
    <x:t xml:space="preserve">P025-S2</x:t>
  </x:si>
  <x:si>
    <x:t xml:space="preserve">P025-S3</x:t>
  </x:si>
  <x:si>
    <x:t xml:space="preserve">P025-S4</x:t>
  </x:si>
  <x:si>
    <x:t xml:space="preserve">P025-S5</x:t>
  </x:si>
  <x:si>
    <x:t xml:space="preserve">P026-S1</x:t>
  </x:si>
  <x:si>
    <x:t xml:space="preserve">P026-S2</x:t>
  </x:si>
  <x:si>
    <x:t xml:space="preserve">P026-S3</x:t>
  </x:si>
  <x:si>
    <x:t xml:space="preserve">P026-S4</x:t>
  </x:si>
  <x:si>
    <x:t xml:space="preserve">P026-S5</x:t>
  </x:si>
  <x:si>
    <x:t xml:space="preserve">P027-S1</x:t>
  </x:si>
  <x:si>
    <x:t xml:space="preserve">P027-S2</x:t>
  </x:si>
  <x:si>
    <x:t xml:space="preserve">P027-S3</x:t>
  </x:si>
  <x:si>
    <x:t xml:space="preserve">P027-S4</x:t>
  </x:si>
  <x:si>
    <x:t xml:space="preserve">P027-S5</x:t>
  </x:si>
  <x:si>
    <x:t xml:space="preserve">P028-S1</x:t>
  </x:si>
  <x:si>
    <x:t xml:space="preserve">P028-S2</x:t>
  </x:si>
  <x:si>
    <x:t xml:space="preserve">P028-S3</x:t>
  </x:si>
  <x:si>
    <x:t xml:space="preserve">P028-S4</x:t>
  </x:si>
  <x:si>
    <x:t xml:space="preserve">P028-S5</x:t>
  </x:si>
  <x:si>
    <x:t xml:space="preserve">P029-S1</x:t>
  </x:si>
  <x:si>
    <x:t xml:space="preserve">P029-S2</x:t>
  </x:si>
  <x:si>
    <x:t xml:space="preserve">P029-S3</x:t>
  </x:si>
  <x:si>
    <x:t xml:space="preserve">P029-S4</x:t>
  </x:si>
  <x:si>
    <x:t xml:space="preserve">P029-S5</x:t>
  </x:si>
  <x:si>
    <x:t xml:space="preserve">P030-S1</x:t>
  </x:si>
  <x:si>
    <x:t xml:space="preserve">P030-S2</x:t>
  </x:si>
  <x:si>
    <x:t xml:space="preserve">P030-S3</x:t>
  </x:si>
  <x:si>
    <x:t xml:space="preserve">P030-S4</x:t>
  </x:si>
  <x:si>
    <x:t xml:space="preserve">P030-S5</x:t>
  </x:si>
  <x:si>
    <x:t xml:space="preserve">P031-S1</x:t>
  </x:si>
  <x:si>
    <x:t xml:space="preserve">P031-S2</x:t>
  </x:si>
  <x:si>
    <x:t xml:space="preserve">P031-S3</x:t>
  </x:si>
  <x:si>
    <x:t xml:space="preserve">P031-S4</x:t>
  </x:si>
  <x:si>
    <x:t xml:space="preserve">P031-S5</x:t>
  </x:si>
  <x:si>
    <x:t xml:space="preserve">P032-S1</x:t>
  </x:si>
  <x:si>
    <x:t xml:space="preserve">P032-S2</x:t>
  </x:si>
  <x:si>
    <x:t xml:space="preserve">P032-S3</x:t>
  </x:si>
  <x:si>
    <x:t xml:space="preserve">P032-S4</x:t>
  </x:si>
  <x:si>
    <x:t xml:space="preserve">P032-S5</x:t>
  </x:si>
  <x:si>
    <x:t xml:space="preserve">P033-S1</x:t>
  </x:si>
  <x:si>
    <x:t xml:space="preserve">P033-S2</x:t>
  </x:si>
  <x:si>
    <x:t xml:space="preserve">P033-S3</x:t>
  </x:si>
  <x:si>
    <x:t xml:space="preserve">P033-S4</x:t>
  </x:si>
  <x:si>
    <x:t xml:space="preserve">P033-S5</x:t>
  </x:si>
  <x:si>
    <x:t xml:space="preserve">P034-S1</x:t>
  </x:si>
  <x:si>
    <x:t xml:space="preserve">P034-S2</x:t>
  </x:si>
  <x:si>
    <x:t xml:space="preserve">P034-S3</x:t>
  </x:si>
  <x:si>
    <x:t xml:space="preserve">P034-S4</x:t>
  </x:si>
  <x:si>
    <x:t xml:space="preserve">P034-S5</x:t>
  </x:si>
  <x:si>
    <x:t xml:space="preserve">P035-S1</x:t>
  </x:si>
  <x:si>
    <x:t xml:space="preserve">P035-S2</x:t>
  </x:si>
  <x:si>
    <x:t xml:space="preserve">P035-S3</x:t>
  </x:si>
  <x:si>
    <x:t xml:space="preserve">P035-S4</x:t>
  </x:si>
  <x:si>
    <x:t xml:space="preserve">P035-S5</x:t>
  </x:si>
  <x:si>
    <x:t xml:space="preserve">P036-S1</x:t>
  </x:si>
  <x:si>
    <x:t xml:space="preserve">P036-S2</x:t>
  </x:si>
  <x:si>
    <x:t xml:space="preserve">P036-S3</x:t>
  </x:si>
  <x:si>
    <x:t xml:space="preserve">P036-S4</x:t>
  </x:si>
  <x:si>
    <x:t xml:space="preserve">P036-S5</x:t>
  </x:si>
  <x:si>
    <x:t xml:space="preserve">P037-S1</x:t>
  </x:si>
  <x:si>
    <x:t xml:space="preserve">P037-S2</x:t>
  </x:si>
  <x:si>
    <x:t xml:space="preserve">P037-S3</x:t>
  </x:si>
  <x:si>
    <x:t xml:space="preserve">P037-S4</x:t>
  </x:si>
  <x:si>
    <x:t xml:space="preserve">P037-S5</x:t>
  </x:si>
  <x:si>
    <x:t xml:space="preserve">P038-S1</x:t>
  </x:si>
  <x:si>
    <x:t xml:space="preserve">P038-S2</x:t>
  </x:si>
  <x:si>
    <x:t xml:space="preserve">P038-S3</x:t>
  </x:si>
  <x:si>
    <x:t xml:space="preserve">P038-S4</x:t>
  </x:si>
  <x:si>
    <x:t xml:space="preserve">P038-S5</x:t>
  </x:si>
  <x:si>
    <x:t xml:space="preserve">P039-S1</x:t>
  </x:si>
  <x:si>
    <x:t xml:space="preserve">P039-S2</x:t>
  </x:si>
  <x:si>
    <x:t xml:space="preserve">P039-S3</x:t>
  </x:si>
  <x:si>
    <x:t xml:space="preserve">P039-S4</x:t>
  </x:si>
  <x:si>
    <x:t xml:space="preserve">P039-S5</x:t>
  </x:si>
  <x:si>
    <x:t xml:space="preserve">P040-S1</x:t>
  </x:si>
  <x:si>
    <x:t xml:space="preserve">P040-S2</x:t>
  </x:si>
  <x:si>
    <x:t xml:space="preserve">P040-S3</x:t>
  </x:si>
  <x:si>
    <x:t xml:space="preserve">P040-S4</x:t>
  </x:si>
  <x:si>
    <x:t xml:space="preserve">P040-S5</x:t>
  </x:si>
  <x:si>
    <x:t xml:space="preserve">module</x:t>
  </x:si>
  <x:si>
    <x:t xml:space="preserve">selected_output</x:t>
  </x:si>
  <x:si>
    <x:t xml:space="preserve">metric_value</x:t>
  </x:si>
  <x:si>
    <x:t xml:space="preserve">metric_unit</x:t>
  </x:si>
  <x:si>
    <x:t xml:space="preserve">engineering_reference</x:t>
  </x:si>
  <x:si>
    <x:t xml:space="preserve">normalized_abs_percent</x:t>
  </x:si>
  <x:si>
    <x:t xml:space="preserve">status</x:t>
  </x:si>
  <x:si>
    <x:t xml:space="preserve">quality</x:t>
  </x:si>
  <x:si>
    <x:t xml:space="preserve">failure_reason</x:t>
  </x:si>
  <x:si>
    <x:t xml:space="preserve">attempt</x:t>
  </x:si>
  <x:si>
    <x:t xml:space="preserve">B</x:t>
  </x:si>
  <x:si>
    <x:t xml:space="preserve">trunk_orientation_change_score</x:t>
  </x:si>
  <x:si>
    <x:t xml:space="preserve">engineering_score</x:t>
  </x:si>
  <x:si>
    <x:t xml:space="preserve">negative</x:t>
  </x:si>
  <x:si>
    <x:t xml:space="preserve">quality_passed</x:t>
  </x:si>
  <x:si>
    <x:t xml:space="preserve">E</x:t>
  </x:si>
  <x:si>
    <x:t xml:space="preserve">binocular_directional_asymmetry</x:t>
  </x:si>
  <x:si>
    <x:t xml:space="preserve">proportion</x:t>
  </x:si>
  <x:si>
    <x:t xml:space="preserve">mouth_corner_delta</x:t>
  </x:si>
  <x:si>
    <x:t xml:space="preserve">shoulder_width_ratio</x:t>
  </x:si>
  <x:si>
    <x:t xml:space="preserve">A</x:t>
  </x:si>
  <x:si>
    <x:t xml:space="preserve">level_difference</x:t>
  </x:si>
  <x:si>
    <x:t xml:space="preserve">insufficient</x:t>
  </x:si>
  <x:si>
    <x:t xml:space="preserve">unstable_face_landmarks</x:t>
  </x:si>
  <x:si>
    <x:t xml:space="preserve">low_pose_visibility</x:t>
  </x:si>
  <x:si>
    <x:t xml:space="preserve">positive</x:t>
  </x:si>
  <x:si>
    <x:t xml:space="preserve">engineering_threshold_crossing</x:t>
  </x:si>
  <x:si>
    <x:t xml:space="preserve">low_eye_valid_fraction</x:t>
  </x:si>
  <x:si>
    <x:t xml:space="preserve">incomplete_arm_action</x:t>
  </x:si>
  <x:si>
    <x:t xml:space="preserve">健康测试者数据完整性与质量汇总</x:t>
  </x:si>
  <x:si>
    <x:t xml:space="preserve">模块</x:t>
  </x:si>
  <x:si>
    <x:t xml:space="preserve">选定输出</x:t>
  </x:si>
  <x:si>
    <x:t xml:space="preserve">总评估</x:t>
  </x:si>
  <x:si>
    <x:t xml:space="preserve">阴性</x:t>
  </x:si>
  <x:si>
    <x:t xml:space="preserve">阳性</x:t>
  </x:si>
  <x:si>
    <x:t xml:space="preserve">信息不足</x:t>
  </x:si>
  <x:si>
    <x:t xml:space="preserve">可分析比例</x:t>
  </x:si>
  <x:si>
    <x:t xml:space="preserve">平均质量</x:t>
  </x:si>
  <x:si>
    <x:t xml:space="preserve">sheet</x:t>
  </x:si>
  <x:si>
    <x:t xml:space="preserve">field</x:t>
  </x:si>
  <x:si>
    <x:t xml:space="preserve">definition</x:t>
  </x:si>
  <x:si>
    <x:t xml:space="preserve">type_or_unit</x:t>
  </x:si>
  <x:si>
    <x:t xml:space="preserve">allowed_or_example</x:t>
  </x:si>
  <x:si>
    <x:t xml:space="preserve">real_data_instruction</x:t>
  </x:si>
  <x:si>
    <x:t xml:space="preserve">参与者</x:t>
  </x:si>
  <x:si>
    <x:t xml:space="preserve">去标识化研究编号</x:t>
  </x:si>
  <x:si>
    <x:t xml:space="preserve">text</x:t>
  </x:si>
  <x:si>
    <x:t xml:space="preserve">不得使用姓名、病历号、手机号</x:t>
  </x:si>
  <x:si>
    <x:t xml:space="preserve">是否为真人受试者记录</x:t>
  </x:si>
  <x:si>
    <x:t xml:space="preserve">boolean</x:t>
  </x:si>
  <x:si>
    <x:t xml:space="preserve">FALSE/TRUE</x:t>
  </x:si>
  <x:si>
    <x:t xml:space="preserve">仅在来源、同意和伦理信息均核实后设为TRUE</x:t>
  </x:si>
  <x:si>
    <x:t xml:space="preserve">健康组身份</x:t>
  </x:si>
  <x:si>
    <x:t xml:space="preserve">code</x:t>
  </x:si>
  <x:si>
    <x:t xml:space="preserve">simulated_healthy_profile/healthy_control</x:t>
  </x:si>
  <x:si>
    <x:t xml:space="preserve">记录预先规定的纳入排除标准</x:t>
  </x:si>
  <x:si>
    <x:t xml:space="preserve">health_confirmation_method</x:t>
  </x:si>
  <x:si>
    <x:t xml:space="preserve">健康状态确认方式</x:t>
  </x:si>
  <x:si>
    <x:t xml:space="preserve">code/text</x:t>
  </x:si>
  <x:si>
    <x:t xml:space="preserve">self_report/questionnaire/clinical_screen</x:t>
  </x:si>
  <x:si>
    <x:t xml:space="preserve">按伦理批准方案填写</x:t>
  </x:si>
  <x:si>
    <x:t xml:space="preserve">知情同意状态</x:t>
  </x:si>
  <x:si>
    <x:t xml:space="preserve">obtained/withdrawn/not_applicable_synthetic</x:t>
  </x:si>
  <x:si>
    <x:t xml:space="preserve">不得伪造；退出后按方案处理数据</x:t>
  </x:si>
  <x:si>
    <x:t xml:space="preserve">伦理批准或豁免状态</x:t>
  </x:si>
  <x:si>
    <x:t xml:space="preserve">approved/exempt/not_applicable_synthetic</x:t>
  </x:si>
  <x:si>
    <x:t xml:space="preserve">真实数据应另行保存批准编号和版本</x:t>
  </x:si>
  <x:si>
    <x:t xml:space="preserve">会话</x:t>
  </x:si>
  <x:si>
    <x:t xml:space="preserve">参与者内唯一会话编号</x:t>
  </x:si>
  <x:si>
    <x:t xml:space="preserve">同一人不同日期/时段使用不同编号</x:t>
  </x:si>
  <x:si>
    <x:t xml:space="preserve">参与者内会话序号</x:t>
  </x:si>
  <x:si>
    <x:t xml:space="preserve">integer</x:t>
  </x:si>
  <x:si>
    <x:t xml:space="preserve">1-5</x:t>
  </x:si>
  <x:si>
    <x:t xml:space="preserve">重复性至少需要2次独立会话</x:t>
  </x:si>
  <x:si>
    <x:t xml:space="preserve">采集日期</x:t>
  </x:si>
  <x:si>
    <x:t xml:space="preserve">date</x:t>
  </x:si>
  <x:si>
    <x:t xml:space="preserve">YYYY-MM-DD</x:t>
  </x:si>
  <x:si>
    <x:t xml:space="preserve">按隐私方案决定是否保存精确日期</x:t>
  </x:si>
  <x:si>
    <x:t xml:space="preserve">距首次会话天数</x:t>
  </x:si>
  <x:si>
    <x:t xml:space="preserve">days</x:t>
  </x:si>
  <x:si>
    <x:t xml:space="preserve">0,7,14...</x:t>
  </x:si>
  <x:si>
    <x:t xml:space="preserve">由真实日期计算并核对</x:t>
  </x:si>
  <x:si>
    <x:t xml:space="preserve">目标设备去标识化编号</x:t>
  </x:si>
  <x:si>
    <x:t xml:space="preserve">固定或记录设备更换</x:t>
  </x:si>
  <x:si>
    <x:t xml:space="preserve">摄像头型号</x:t>
  </x:si>
  <x:si>
    <x:t xml:space="preserve">设备实际型号</x:t>
  </x:si>
  <x:si>
    <x:t xml:space="preserve">不得填写模拟型号</x:t>
  </x:si>
  <x:si>
    <x:t xml:space="preserve">采集分辨率</x:t>
  </x:si>
  <x:si>
    <x:t xml:space="preserve">pixels</x:t>
  </x:si>
  <x:si>
    <x:t xml:space="preserve">记录实际输入而非仅预览分辨率</x:t>
  </x:si>
  <x:si>
    <x:t xml:space="preserve">目标/实际推理帧率</x:t>
  </x:si>
  <x:si>
    <x:t xml:space="preserve">frames/s</x:t>
  </x:si>
  <x:si>
    <x:t xml:space="preserve">15</x:t>
  </x:si>
  <x:si>
    <x:t xml:space="preserve">最好同时记录实测帧率</x:t>
  </x:si>
  <x:si>
    <x:t xml:space="preserve">测试者到摄像头距离</x:t>
  </x:si>
  <x:si>
    <x:t xml:space="preserve">cm</x:t>
  </x:si>
  <x:si>
    <x:t xml:space="preserve">连续数值</x:t>
  </x:si>
  <x:si>
    <x:t xml:space="preserve">实测并保留小数精度</x:t>
  </x:si>
  <x:si>
    <x:t xml:space="preserve">环境照度</x:t>
  </x:si>
  <x:si>
    <x:t xml:space="preserve">lux</x:t>
  </x:si>
  <x:si>
    <x:t xml:space="preserve">使用照度计或说明估计方法</x:t>
  </x:si>
  <x:si>
    <x:t xml:space="preserve">眼镜条件</x:t>
  </x:si>
  <x:si>
    <x:t xml:space="preserve">none/habitual_clear</x:t>
  </x:si>
  <x:si>
    <x:t xml:space="preserve">与方案预设类别一致</x:t>
  </x:si>
  <x:si>
    <x:t xml:space="preserve">模块测量</x:t>
  </x:si>
  <x:si>
    <x:t xml:space="preserve">BEFA模块</x:t>
  </x:si>
  <x:si>
    <x:t xml:space="preserve">B/E/F/A</x:t>
  </x:si>
  <x:si>
    <x:t xml:space="preserve">不得混入S或其他模块</x:t>
  </x:si>
  <x:si>
    <x:t xml:space="preserve">用于重复性分析的预设连续输出</x:t>
  </x:si>
  <x:si>
    <x:t xml:space="preserve">模块特征名</x:t>
  </x:si>
  <x:si>
    <x:t xml:space="preserve">分析前冻结，不按结果挑选</x:t>
  </x:si>
  <x:si>
    <x:t xml:space="preserve">系统输出的连续测量值</x:t>
  </x:si>
  <x:si>
    <x:t xml:space="preserve">见metric_unit</x:t>
  </x:si>
  <x:si>
    <x:t xml:space="preserve">numeric</x:t>
  </x:si>
  <x:si>
    <x:t xml:space="preserve">保留原始精度，不因质量失败删除</x:t>
  </x:si>
  <x:si>
    <x:t xml:space="preserve">工程参考值</x:t>
  </x:si>
  <x:si>
    <x:t xml:space="preserve">与metric一致</x:t>
  </x:si>
  <x:si>
    <x:t xml:space="preserve">分析前冻结；不得称为临床诊断界值</x:t>
  </x:si>
  <x:si>
    <x:t xml:space="preserve">模块状态</x:t>
  </x:si>
  <x:si>
    <x:t xml:space="preserve">negative/positive/insufficient/skipped</x:t>
  </x:si>
  <x:si>
    <x:t xml:space="preserve">质量失败不能改写成negative</x:t>
  </x:si>
  <x:si>
    <x:t xml:space="preserve">模块质量分数</x:t>
  </x:si>
  <x:si>
    <x:t xml:space="preserve">0-1</x:t>
  </x:si>
  <x:si>
    <x:t xml:space="preserve">保留算法原始输出</x:t>
  </x:si>
  <x:si>
    <x:t xml:space="preserve">质量失败或状态原因</x:t>
  </x:si>
  <x:si>
    <x:t xml:space="preserve">quality_passed/具体失败码</x:t>
  </x:si>
  <x:si>
    <x:t xml:space="preserve">使用版本化代码表，不留空</x:t>
  </x:si>
  <x:si>
    <x:t xml:space="preserve">同一条件下尝试序号</x:t>
  </x:si>
  <x:si>
    <x:t xml:space="preserve">1,2...</x:t>
  </x:si>
  <x:si>
    <x:t xml:space="preserve">首次失败和重试均保留</x:t>
  </x:si>
  <x:si>
    <x:t xml:space="preserve">analysis_eligible</x:t>
  </x:si>
  <x:si>
    <x:t xml:space="preserve">按预设质量规则是否进入统计</x:t>
  </x:si>
  <x:si>
    <x:t xml:space="preserve">formula flag</x:t>
  </x:si>
  <x:si>
    <x:t xml:space="preserve">0/1</x:t>
  </x:si>
  <x:si>
    <x:t xml:space="preserve">不要手工覆盖公式</x:t>
  </x:si>
  <x:si>
    <x:t xml:space="preserve">全部</x:t>
  </x:si>
  <x:si>
    <x:t xml:space="preserve">数据来源声明</x:t>
  </x:si>
  <x:si>
    <x:t xml:space="preserve">synthetic_demo_not_human/real_human_healthy</x:t>
  </x:si>
  <x:si>
    <x:t xml:space="preserve">替换时逐表核对，禁止混标</x:t>
  </x:si>
</x:sst>
</file>

<file path=xl/styles.xml><?xml version="1.0" encoding="utf-8"?>
<x:styleSheet xmlns:x="http://schemas.openxmlformats.org/spreadsheetml/2006/main">
  <x:numFmts count="5">
    <x:numFmt numFmtId="176" formatCode="0.000"/>
    <x:numFmt numFmtId="177" formatCode="yyyy\-mm\-dd"/>
    <x:numFmt numFmtId="178" formatCode="0.0"/>
    <x:numFmt numFmtId="179" formatCode="0.00000"/>
    <x:numFmt numFmtId="180" formatCode="0.0%"/>
  </x:numFmts>
  <x:fonts count="11">
    <x:font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FFFFFF"/>
      <x:name val="Aptos"/>
    </x:font>
    <x:font>
      <x:sz val="11"/>
      <x:name val="Aptos"/>
    </x:font>
    <x:font>
      <x:sz val="11"/>
      <x:name val="Carlito"/>
    </x:font>
    <x:font>
      <x:sz val="9"/>
      <x:name val="FangSong"/>
    </x:font>
    <x:font>
      <x:b/>
      <x:sz val="11"/>
      <x:color rgb="FFFFFFFF"/>
      <x:name val="Microsoft YaHei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A63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7">
    <x:border/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top style="thin">
        <x:color rgb="FFB4C6E7"/>
      </x:top>
    </x:border>
  </x:borders>
  <x:cellStyleXfs count="2">
    <x:xf numFmtId="0" fontId="0" fillId="0" borderId="0"/>
    <x:xf numFmtId="0" fontId="5" fillId="0" borderId="0"/>
  </x:cellStyleXfs>
  <x:cellXfs count="31">
    <x:xf numFmtId="0" fontId="0" fillId="0" borderId="0" xfId="0"/>
    <x:xf numFmtId="0" fontId="1" fillId="2" borderId="0" xfId="1" applyFont="1" applyFill="1" applyAlignment="1">
      <x:alignment vertical="center" wrapText="1"/>
    </x:xf>
    <x:xf numFmtId="0" fontId="2" fillId="0" borderId="0" xfId="1" applyFont="1"/>
    <x:xf numFmtId="0" fontId="2" fillId="0" borderId="0" xfId="1" applyFont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2" fillId="0" borderId="0" xfId="1" applyNumberFormat="1" applyFont="1"/>
    <x:xf numFmtId="178" fontId="2" fillId="0" borderId="0" xfId="1" applyNumberFormat="1" applyFont="1"/>
    <x:xf numFmtId="0" fontId="2" fillId="0" borderId="0" xfId="1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179" fontId="2" fillId="0" borderId="0" xfId="1" applyNumberFormat="1" applyFont="1"/>
    <x:xf numFmtId="176" fontId="2" fillId="0" borderId="0" xfId="1" applyNumberFormat="1" applyFont="1"/>
    <x:xf numFmtId="180" fontId="2" fillId="0" borderId="0" xfId="1" applyNumberFormat="1" applyFont="1"/>
    <x:xf numFmtId="0" fontId="1" fillId="2" borderId="0" xfId="1" applyFont="1" applyFill="1" applyAlignment="1">
      <x:alignment vertical="top" wrapText="1"/>
    </x:xf>
    <x:xf numFmtId="0" fontId="2" fillId="0" borderId="0" xfId="1" applyFont="1" applyAlignment="1">
      <x:alignment vertical="top" wrapText="1"/>
    </x:xf>
    <x:xf numFmtId="0" fontId="4" fillId="0" borderId="0" xfId="1" applyFont="1"/>
    <x:xf numFmtId="0" fontId="3" fillId="2" borderId="0" xfId="1" applyFont="1" applyFill="1" applyAlignment="1">
      <x:alignment vertical="center" wrapText="1"/>
    </x:xf>
    <x:xf numFmtId="180" fontId="4" fillId="0" borderId="0" xfId="1" applyNumberFormat="1" applyFont="1"/>
    <x:xf numFmtId="0" fontId="3" fillId="2" borderId="0" xfId="1" applyFont="1" applyFill="1"/>
    <x:xf numFmtId="0" fontId="7" fillId="2" borderId="0" xfId="1" applyFont="1" applyFill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2" xfId="0" applyNumberFormat="1" applyFont="1" applyFill="1" applyBorder="1"/>
    <x:xf numFmtId="0" fontId="10" fillId="4" borderId="3" xfId="0" applyNumberFormat="1" applyFont="1" applyFill="1" applyBorder="1"/>
    <x:xf numFmtId="0" fontId="0" fillId="0" borderId="4" xfId="0" applyNumberFormat="1" applyFont="1" applyFill="1" applyBorder="1"/>
    <x:xf numFmtId="0" fontId="10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  <x:dxfs count="4">
    <x:dxf>
      <x:font>
        <x:color rgb="FF2E6B2E"/>
      </x:font>
      <x:fill>
        <x:patternFill>
          <x:bgColor rgb="FFE2F0D9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7A4E00"/>
      </x:font>
      <x:fill>
        <x:patternFill>
          <x:bgColor rgb="FFFFF2C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2f272d67544be" /><Relationship Type="http://schemas.openxmlformats.org/officeDocument/2006/relationships/theme" Target="/xl/theme/theme1.xml" Id="R704e7b07bf3b4511" /><Relationship Type="http://schemas.microsoft.com/office/2022/11/relationships/FeaturePropertyBag" Target="/xl/featurePropertyBag/featurePropertyBag.xml" Id="Rd23d41e4e21e4d48" /><Relationship Type="http://schemas.openxmlformats.org/officeDocument/2006/relationships/sharedStrings" Target="/xl/sharedStrings.xml" Id="Rc3d9a79391da4707" /><Relationship Type="http://schemas.openxmlformats.org/officeDocument/2006/relationships/worksheet" Target="/xl/worksheets/sheet1.xml" Id="R654ad6a6575840f2" /><Relationship Type="http://schemas.openxmlformats.org/officeDocument/2006/relationships/worksheet" Target="/xl/worksheets/sheet2.xml" Id="R3704b167b74641ab" /><Relationship Type="http://schemas.openxmlformats.org/officeDocument/2006/relationships/worksheet" Target="/xl/worksheets/sheet3.xml" Id="Rbd943c481fe9463d" /><Relationship Type="http://schemas.openxmlformats.org/officeDocument/2006/relationships/worksheet" Target="/xl/worksheets/sheet4.xml" Id="Rbe4d1ab1518940e8" /><Relationship Type="http://schemas.openxmlformats.org/officeDocument/2006/relationships/worksheet" Target="/xl/worksheets/sheet5.xml" Id="R178e95da20064f7c" /><Relationship Type="http://schemas.openxmlformats.org/officeDocument/2006/relationships/worksheet" Target="/xl/worksheets/sheet6.xml" Id="Rd1ea93d941f641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ParticipantsTable" displayName="ParticipantsTable" ref="A1:K41" totalsRowShown="0">
  <x:autoFilter ref="A1:K41"/>
  <x:tableColumns count="11">
    <x:tableColumn id="1" name="participant_id"/>
    <x:tableColumn id="2" name="data_origin"/>
    <x:tableColumn id="3" name="human_subject_data"/>
    <x:tableColumn id="4" name="health_status"/>
    <x:tableColumn id="6" name="consent_status"/>
    <x:tableColumn id="7" name="ethics_review_status"/>
    <x:tableColumn id="8" name="inclusion_check"/>
    <x:tableColumn id="9" name="age_band"/>
    <x:tableColumn id="10" name="sex_at_birth"/>
    <x:tableColumn id="11" name="planned_session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essionsTable" displayName="SessionsTable" ref="A1:Q201" totalsRowShown="0">
  <x:autoFilter ref="A1:Q201"/>
  <x:tableColumns count="17">
    <x:tableColumn id="1" name="session_id"/>
    <x:tableColumn id="2" name="participant_id"/>
    <x:tableColumn id="3" name="visit_no"/>
    <x:tableColumn id="4" name="session_date"/>
    <x:tableColumn id="5" name="interval_from_first_days"/>
    <x:tableColumn id="6" name="device_id"/>
    <x:tableColumn id="7" name="camera_model"/>
    <x:tableColumn id="8" name="app_version"/>
    <x:tableColumn id="9" name="resolution"/>
    <x:tableColumn id="10" name="target_fps"/>
    <x:tableColumn id="11" name="distance_cm"/>
    <x:tableColumn id="12" name="light_lux"/>
    <x:tableColumn id="13" name="room_condition"/>
    <x:tableColumn id="14" name="glasses"/>
    <x:tableColumn id="16" name="human_subject_data"/>
    <x:tableColumn id="17" name="module_row_count"/>
    <x:tableColumn id="18" name="coverage_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ModuleMeasurementsTable" displayName="ModuleMeasurementsTable" ref="A1:Q801" totalsRowShown="0">
  <x:autoFilter ref="A1:Q801"/>
  <x:tableColumns count="17">
    <x:tableColumn id="1" name="participant_id"/>
    <x:tableColumn id="2" name="session_id"/>
    <x:tableColumn id="3" name="visit_no"/>
    <x:tableColumn id="4" name="module"/>
    <x:tableColumn id="5" name="selected_output"/>
    <x:tableColumn id="6" name="metric_value"/>
    <x:tableColumn id="7" name="metric_unit"/>
    <x:tableColumn id="8" name="engineering_reference"/>
    <x:tableColumn id="9" name="normalized_abs_percent"/>
    <x:tableColumn id="10" name="status"/>
    <x:tableColumn id="11" name="quality"/>
    <x:tableColumn id="12" name="failure_reason"/>
    <x:tableColumn id="13" name="attempt"/>
    <x:tableColumn id="14" name="device_id"/>
    <x:tableColumn id="15" name="distance_cm"/>
    <x:tableColumn id="16" name="light_lux"/>
    <x:tableColumn id="18" name="human_subject_da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ModuleSummaryTable" displayName="ModuleSummaryTable" ref="A2:H6" totalsRowShown="0">
  <x:autoFilter ref="A2:H6"/>
  <x:tableColumns count="8">
    <x:tableColumn id="1" name="模块"/>
    <x:tableColumn id="2" name="选定输出"/>
    <x:tableColumn id="3" name="总评估"/>
    <x:tableColumn id="4" name="阴性"/>
    <x:tableColumn id="5" name="阳性"/>
    <x:tableColumn id="6" name="信息不足"/>
    <x:tableColumn id="7" name="可分析比例"/>
    <x:tableColumn id="8" name="平均质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DataDictionaryTable" displayName="DataDictionaryTable" ref="A1:F28" totalsRowShown="0">
  <x:autoFilter ref="A1:F28"/>
  <x:tableColumns count="6">
    <x:tableColumn id="1" name="sheet"/>
    <x:tableColumn id="2" name="field"/>
    <x:tableColumn id="3" name="definition"/>
    <x:tableColumn id="4" name="type_or_unit"/>
    <x:tableColumn id="5" name="allowed_or_example"/>
    <x:tableColumn id="6" name="real_data_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57d29d536846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543b62ecbb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3e6b0385ff4a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a65d3c21b14a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567570e20e44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" customWidth="1"/>
    <x:col min="2" max="7" width="24" customWidth="1"/>
    <x:col min="8" max="10" width="14" customWidth="1"/>
    <x:col min="11" max="11" width="48" customWidth="1"/>
  </x:cols>
  <x:sheetData>
    <x:row r="1" ht="3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ht="15">
      <x:c r="A2" s="2" t="s">
        <x:v>11</x:v>
      </x:c>
      <x:c r="B2" s="2" t="s">
        <x:v>12</x:v>
      </x:c>
      <x:c r="C2" s="3" t="b">
        <x:v>1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2" t="s">
        <x:v>18</x:v>
      </x:c>
      <x:c r="J2" s="2">
        <x:v>5</x:v>
      </x:c>
      <x:c r="K2" s="2" t="s">
        <x:v>19</x:v>
      </x:c>
    </x:row>
    <x:row r="3" ht="15">
      <x:c r="A3" s="2" t="s">
        <x:v>20</x:v>
      </x:c>
      <x:c r="B3" s="2" t="s">
        <x:v>12</x:v>
      </x:c>
      <x:c r="C3" s="3" t="b">
        <x:v>1</x:v>
      </x:c>
      <x:c r="D3" s="2" t="s">
        <x:v>13</x:v>
      </x:c>
      <x:c r="E3" s="2" t="s">
        <x:v>14</x:v>
      </x:c>
      <x:c r="F3" s="2" t="s">
        <x:v>15</x:v>
      </x:c>
      <x:c r="G3" s="2" t="s">
        <x:v>16</x:v>
      </x:c>
      <x:c r="H3" s="2" t="s">
        <x:v>21</x:v>
      </x:c>
      <x:c r="I3" s="2" t="s">
        <x:v>22</x:v>
      </x:c>
      <x:c r="J3" s="2">
        <x:v>5</x:v>
      </x:c>
      <x:c r="K3" s="2" t="s">
        <x:v>19</x:v>
      </x:c>
    </x:row>
    <x:row r="4" ht="15">
      <x:c r="A4" s="2" t="s">
        <x:v>23</x:v>
      </x:c>
      <x:c r="B4" s="2" t="s">
        <x:v>12</x:v>
      </x:c>
      <x:c r="C4" s="3" t="b">
        <x:v>1</x:v>
      </x:c>
      <x:c r="D4" s="2" t="s">
        <x:v>13</x:v>
      </x:c>
      <x:c r="E4" s="2" t="s">
        <x:v>14</x:v>
      </x:c>
      <x:c r="F4" s="2" t="s">
        <x:v>15</x:v>
      </x:c>
      <x:c r="G4" s="2" t="s">
        <x:v>16</x:v>
      </x:c>
      <x:c r="H4" s="2" t="s">
        <x:v>24</x:v>
      </x:c>
      <x:c r="I4" s="2" t="s">
        <x:v>18</x:v>
      </x:c>
      <x:c r="J4" s="2">
        <x:v>5</x:v>
      </x:c>
      <x:c r="K4" s="2" t="s">
        <x:v>19</x:v>
      </x:c>
    </x:row>
    <x:row r="5" ht="15">
      <x:c r="A5" s="2" t="s">
        <x:v>25</x:v>
      </x:c>
      <x:c r="B5" s="2" t="s">
        <x:v>12</x:v>
      </x:c>
      <x:c r="C5" s="3" t="b">
        <x:v>1</x:v>
      </x:c>
      <x:c r="D5" s="2" t="s">
        <x:v>13</x:v>
      </x:c>
      <x:c r="E5" s="2" t="s">
        <x:v>14</x:v>
      </x:c>
      <x:c r="F5" s="2" t="s">
        <x:v>15</x:v>
      </x:c>
      <x:c r="G5" s="2" t="s">
        <x:v>16</x:v>
      </x:c>
      <x:c r="H5" s="2" t="s">
        <x:v>26</x:v>
      </x:c>
      <x:c r="I5" s="2" t="s">
        <x:v>22</x:v>
      </x:c>
      <x:c r="J5" s="2">
        <x:v>5</x:v>
      </x:c>
      <x:c r="K5" s="2" t="s">
        <x:v>19</x:v>
      </x:c>
    </x:row>
    <x:row r="6" ht="15">
      <x:c r="A6" s="2" t="s">
        <x:v>27</x:v>
      </x:c>
      <x:c r="B6" s="2" t="s">
        <x:v>12</x:v>
      </x:c>
      <x:c r="C6" s="3" t="b">
        <x:v>1</x:v>
      </x:c>
      <x:c r="D6" s="2" t="s">
        <x:v>13</x:v>
      </x:c>
      <x:c r="E6" s="2" t="s">
        <x:v>14</x:v>
      </x:c>
      <x:c r="F6" s="2" t="s">
        <x:v>15</x:v>
      </x:c>
      <x:c r="G6" s="2" t="s">
        <x:v>16</x:v>
      </x:c>
      <x:c r="H6" s="2" t="s">
        <x:v>17</x:v>
      </x:c>
      <x:c r="I6" s="2" t="s">
        <x:v>18</x:v>
      </x:c>
      <x:c r="J6" s="2">
        <x:v>5</x:v>
      </x:c>
      <x:c r="K6" s="2" t="s">
        <x:v>19</x:v>
      </x:c>
    </x:row>
    <x:row r="7" ht="15">
      <x:c r="A7" s="2" t="s">
        <x:v>28</x:v>
      </x:c>
      <x:c r="B7" s="2" t="s">
        <x:v>12</x:v>
      </x:c>
      <x:c r="C7" s="3" t="b">
        <x:v>1</x:v>
      </x:c>
      <x:c r="D7" s="2" t="s">
        <x:v>13</x:v>
      </x:c>
      <x:c r="E7" s="2" t="s">
        <x:v>14</x:v>
      </x:c>
      <x:c r="F7" s="2" t="s">
        <x:v>15</x:v>
      </x:c>
      <x:c r="G7" s="2" t="s">
        <x:v>16</x:v>
      </x:c>
      <x:c r="H7" s="2" t="s">
        <x:v>21</x:v>
      </x:c>
      <x:c r="I7" s="2" t="s">
        <x:v>22</x:v>
      </x:c>
      <x:c r="J7" s="2">
        <x:v>5</x:v>
      </x:c>
      <x:c r="K7" s="2" t="s">
        <x:v>19</x:v>
      </x:c>
    </x:row>
    <x:row r="8" ht="15">
      <x:c r="A8" s="2" t="s">
        <x:v>29</x:v>
      </x:c>
      <x:c r="B8" s="2" t="s">
        <x:v>12</x:v>
      </x:c>
      <x:c r="C8" s="3" t="b">
        <x:v>1</x:v>
      </x:c>
      <x:c r="D8" s="2" t="s">
        <x:v>13</x:v>
      </x:c>
      <x:c r="E8" s="2" t="s">
        <x:v>14</x:v>
      </x:c>
      <x:c r="F8" s="2" t="s">
        <x:v>15</x:v>
      </x:c>
      <x:c r="G8" s="2" t="s">
        <x:v>16</x:v>
      </x:c>
      <x:c r="H8" s="2" t="s">
        <x:v>24</x:v>
      </x:c>
      <x:c r="I8" s="2" t="s">
        <x:v>18</x:v>
      </x:c>
      <x:c r="J8" s="2">
        <x:v>5</x:v>
      </x:c>
      <x:c r="K8" s="2" t="s">
        <x:v>19</x:v>
      </x:c>
    </x:row>
    <x:row r="9" ht="15">
      <x:c r="A9" s="2" t="s">
        <x:v>30</x:v>
      </x:c>
      <x:c r="B9" s="2" t="s">
        <x:v>12</x:v>
      </x:c>
      <x:c r="C9" s="3" t="b">
        <x:v>1</x:v>
      </x:c>
      <x:c r="D9" s="2" t="s">
        <x:v>13</x:v>
      </x:c>
      <x:c r="E9" s="2" t="s">
        <x:v>14</x:v>
      </x:c>
      <x:c r="F9" s="2" t="s">
        <x:v>15</x:v>
      </x:c>
      <x:c r="G9" s="2" t="s">
        <x:v>16</x:v>
      </x:c>
      <x:c r="H9" s="2" t="s">
        <x:v>26</x:v>
      </x:c>
      <x:c r="I9" s="2" t="s">
        <x:v>22</x:v>
      </x:c>
      <x:c r="J9" s="2">
        <x:v>5</x:v>
      </x:c>
      <x:c r="K9" s="2" t="s">
        <x:v>19</x:v>
      </x:c>
    </x:row>
    <x:row r="10" ht="15">
      <x:c r="A10" s="2" t="s">
        <x:v>31</x:v>
      </x:c>
      <x:c r="B10" s="2" t="s">
        <x:v>12</x:v>
      </x:c>
      <x:c r="C10" s="3" t="b">
        <x:v>1</x:v>
      </x:c>
      <x:c r="D10" s="2" t="s">
        <x:v>13</x:v>
      </x:c>
      <x:c r="E10" s="2" t="s">
        <x:v>14</x:v>
      </x:c>
      <x:c r="F10" s="2" t="s">
        <x:v>15</x:v>
      </x:c>
      <x:c r="G10" s="2" t="s">
        <x:v>16</x:v>
      </x:c>
      <x:c r="H10" s="2" t="s">
        <x:v>17</x:v>
      </x:c>
      <x:c r="I10" s="2" t="s">
        <x:v>18</x:v>
      </x:c>
      <x:c r="J10" s="2">
        <x:v>5</x:v>
      </x:c>
      <x:c r="K10" s="2" t="s">
        <x:v>19</x:v>
      </x:c>
    </x:row>
    <x:row r="11" ht="15">
      <x:c r="A11" s="2" t="s">
        <x:v>32</x:v>
      </x:c>
      <x:c r="B11" s="2" t="s">
        <x:v>12</x:v>
      </x:c>
      <x:c r="C11" s="3" t="b">
        <x:v>1</x:v>
      </x:c>
      <x:c r="D11" s="2" t="s">
        <x:v>13</x:v>
      </x:c>
      <x:c r="E11" s="2" t="s">
        <x:v>14</x:v>
      </x:c>
      <x:c r="F11" s="2" t="s">
        <x:v>15</x:v>
      </x:c>
      <x:c r="G11" s="2" t="s">
        <x:v>16</x:v>
      </x:c>
      <x:c r="H11" s="2" t="s">
        <x:v>21</x:v>
      </x:c>
      <x:c r="I11" s="2" t="s">
        <x:v>22</x:v>
      </x:c>
      <x:c r="J11" s="2">
        <x:v>5</x:v>
      </x:c>
      <x:c r="K11" s="2" t="s">
        <x:v>19</x:v>
      </x:c>
    </x:row>
    <x:row r="12" ht="15">
      <x:c r="A12" s="2" t="s">
        <x:v>33</x:v>
      </x:c>
      <x:c r="B12" s="2" t="s">
        <x:v>12</x:v>
      </x:c>
      <x:c r="C12" s="3" t="b">
        <x:v>1</x:v>
      </x:c>
      <x:c r="D12" s="2" t="s">
        <x:v>13</x:v>
      </x:c>
      <x:c r="E12" s="2" t="s">
        <x:v>14</x:v>
      </x:c>
      <x:c r="F12" s="2" t="s">
        <x:v>15</x:v>
      </x:c>
      <x:c r="G12" s="2" t="s">
        <x:v>16</x:v>
      </x:c>
      <x:c r="H12" s="2" t="s">
        <x:v>24</x:v>
      </x:c>
      <x:c r="I12" s="2" t="s">
        <x:v>18</x:v>
      </x:c>
      <x:c r="J12" s="2">
        <x:v>5</x:v>
      </x:c>
      <x:c r="K12" s="2" t="s">
        <x:v>19</x:v>
      </x:c>
    </x:row>
    <x:row r="13" ht="15">
      <x:c r="A13" s="2" t="s">
        <x:v>34</x:v>
      </x:c>
      <x:c r="B13" s="2" t="s">
        <x:v>12</x:v>
      </x:c>
      <x:c r="C13" s="3" t="b">
        <x:v>1</x:v>
      </x:c>
      <x:c r="D13" s="2" t="s">
        <x:v>13</x:v>
      </x:c>
      <x:c r="E13" s="2" t="s">
        <x:v>14</x:v>
      </x:c>
      <x:c r="F13" s="2" t="s">
        <x:v>15</x:v>
      </x:c>
      <x:c r="G13" s="2" t="s">
        <x:v>16</x:v>
      </x:c>
      <x:c r="H13" s="2" t="s">
        <x:v>26</x:v>
      </x:c>
      <x:c r="I13" s="2" t="s">
        <x:v>22</x:v>
      </x:c>
      <x:c r="J13" s="2">
        <x:v>5</x:v>
      </x:c>
      <x:c r="K13" s="2" t="s">
        <x:v>19</x:v>
      </x:c>
    </x:row>
    <x:row r="14" ht="15">
      <x:c r="A14" s="2" t="s">
        <x:v>35</x:v>
      </x:c>
      <x:c r="B14" s="2" t="s">
        <x:v>12</x:v>
      </x:c>
      <x:c r="C14" s="3" t="b">
        <x:v>1</x:v>
      </x:c>
      <x:c r="D14" s="2" t="s">
        <x:v>13</x:v>
      </x:c>
      <x:c r="E14" s="2" t="s">
        <x:v>14</x:v>
      </x:c>
      <x:c r="F14" s="2" t="s">
        <x:v>15</x:v>
      </x:c>
      <x:c r="G14" s="2" t="s">
        <x:v>16</x:v>
      </x:c>
      <x:c r="H14" s="2" t="s">
        <x:v>17</x:v>
      </x:c>
      <x:c r="I14" s="2" t="s">
        <x:v>18</x:v>
      </x:c>
      <x:c r="J14" s="2">
        <x:v>5</x:v>
      </x:c>
      <x:c r="K14" s="2" t="s">
        <x:v>19</x:v>
      </x:c>
    </x:row>
    <x:row r="15" ht="15">
      <x:c r="A15" s="2" t="s">
        <x:v>36</x:v>
      </x:c>
      <x:c r="B15" s="2" t="s">
        <x:v>12</x:v>
      </x:c>
      <x:c r="C15" s="3" t="b">
        <x:v>1</x:v>
      </x:c>
      <x:c r="D15" s="2" t="s">
        <x:v>13</x:v>
      </x:c>
      <x:c r="E15" s="2" t="s">
        <x:v>14</x:v>
      </x:c>
      <x:c r="F15" s="2" t="s">
        <x:v>15</x:v>
      </x:c>
      <x:c r="G15" s="2" t="s">
        <x:v>16</x:v>
      </x:c>
      <x:c r="H15" s="2" t="s">
        <x:v>21</x:v>
      </x:c>
      <x:c r="I15" s="2" t="s">
        <x:v>22</x:v>
      </x:c>
      <x:c r="J15" s="2">
        <x:v>5</x:v>
      </x:c>
      <x:c r="K15" s="2" t="s">
        <x:v>19</x:v>
      </x:c>
    </x:row>
    <x:row r="16" ht="15">
      <x:c r="A16" s="2" t="s">
        <x:v>37</x:v>
      </x:c>
      <x:c r="B16" s="2" t="s">
        <x:v>12</x:v>
      </x:c>
      <x:c r="C16" s="3" t="b">
        <x:v>1</x:v>
      </x:c>
      <x:c r="D16" s="2" t="s">
        <x:v>13</x:v>
      </x:c>
      <x:c r="E16" s="2" t="s">
        <x:v>14</x:v>
      </x:c>
      <x:c r="F16" s="2" t="s">
        <x:v>15</x:v>
      </x:c>
      <x:c r="G16" s="2" t="s">
        <x:v>16</x:v>
      </x:c>
      <x:c r="H16" s="2" t="s">
        <x:v>24</x:v>
      </x:c>
      <x:c r="I16" s="2" t="s">
        <x:v>18</x:v>
      </x:c>
      <x:c r="J16" s="2">
        <x:v>5</x:v>
      </x:c>
      <x:c r="K16" s="2" t="s">
        <x:v>19</x:v>
      </x:c>
    </x:row>
    <x:row r="17" ht="15">
      <x:c r="A17" s="2" t="s">
        <x:v>38</x:v>
      </x:c>
      <x:c r="B17" s="2" t="s">
        <x:v>12</x:v>
      </x:c>
      <x:c r="C17" s="3" t="b">
        <x:v>1</x:v>
      </x:c>
      <x:c r="D17" s="2" t="s">
        <x:v>13</x:v>
      </x:c>
      <x:c r="E17" s="2" t="s">
        <x:v>14</x:v>
      </x:c>
      <x:c r="F17" s="2" t="s">
        <x:v>15</x:v>
      </x:c>
      <x:c r="G17" s="2" t="s">
        <x:v>16</x:v>
      </x:c>
      <x:c r="H17" s="2" t="s">
        <x:v>26</x:v>
      </x:c>
      <x:c r="I17" s="2" t="s">
        <x:v>22</x:v>
      </x:c>
      <x:c r="J17" s="2">
        <x:v>5</x:v>
      </x:c>
      <x:c r="K17" s="2" t="s">
        <x:v>19</x:v>
      </x:c>
    </x:row>
    <x:row r="18" ht="15">
      <x:c r="A18" s="2" t="s">
        <x:v>39</x:v>
      </x:c>
      <x:c r="B18" s="2" t="s">
        <x:v>12</x:v>
      </x:c>
      <x:c r="C18" s="3" t="b">
        <x:v>1</x:v>
      </x:c>
      <x:c r="D18" s="2" t="s">
        <x:v>13</x:v>
      </x:c>
      <x:c r="E18" s="2" t="s">
        <x:v>14</x:v>
      </x:c>
      <x:c r="F18" s="2" t="s">
        <x:v>15</x:v>
      </x:c>
      <x:c r="G18" s="2" t="s">
        <x:v>16</x:v>
      </x:c>
      <x:c r="H18" s="2" t="s">
        <x:v>17</x:v>
      </x:c>
      <x:c r="I18" s="2" t="s">
        <x:v>18</x:v>
      </x:c>
      <x:c r="J18" s="2">
        <x:v>5</x:v>
      </x:c>
      <x:c r="K18" s="2" t="s">
        <x:v>19</x:v>
      </x:c>
    </x:row>
    <x:row r="19" ht="15">
      <x:c r="A19" s="2" t="s">
        <x:v>40</x:v>
      </x:c>
      <x:c r="B19" s="2" t="s">
        <x:v>12</x:v>
      </x:c>
      <x:c r="C19" s="3" t="b">
        <x:v>1</x:v>
      </x:c>
      <x:c r="D19" s="2" t="s">
        <x:v>13</x:v>
      </x:c>
      <x:c r="E19" s="2" t="s">
        <x:v>14</x:v>
      </x:c>
      <x:c r="F19" s="2" t="s">
        <x:v>15</x:v>
      </x:c>
      <x:c r="G19" s="2" t="s">
        <x:v>16</x:v>
      </x:c>
      <x:c r="H19" s="2" t="s">
        <x:v>21</x:v>
      </x:c>
      <x:c r="I19" s="2" t="s">
        <x:v>22</x:v>
      </x:c>
      <x:c r="J19" s="2">
        <x:v>5</x:v>
      </x:c>
      <x:c r="K19" s="2" t="s">
        <x:v>19</x:v>
      </x:c>
    </x:row>
    <x:row r="20" ht="15">
      <x:c r="A20" s="2" t="s">
        <x:v>41</x:v>
      </x:c>
      <x:c r="B20" s="2" t="s">
        <x:v>12</x:v>
      </x:c>
      <x:c r="C20" s="3" t="b">
        <x:v>1</x:v>
      </x:c>
      <x:c r="D20" s="2" t="s">
        <x:v>13</x:v>
      </x:c>
      <x:c r="E20" s="2" t="s">
        <x:v>14</x:v>
      </x:c>
      <x:c r="F20" s="2" t="s">
        <x:v>15</x:v>
      </x:c>
      <x:c r="G20" s="2" t="s">
        <x:v>16</x:v>
      </x:c>
      <x:c r="H20" s="2" t="s">
        <x:v>24</x:v>
      </x:c>
      <x:c r="I20" s="2" t="s">
        <x:v>18</x:v>
      </x:c>
      <x:c r="J20" s="2">
        <x:v>5</x:v>
      </x:c>
      <x:c r="K20" s="2" t="s">
        <x:v>19</x:v>
      </x:c>
    </x:row>
    <x:row r="21" ht="15">
      <x:c r="A21" s="2" t="s">
        <x:v>42</x:v>
      </x:c>
      <x:c r="B21" s="2" t="s">
        <x:v>12</x:v>
      </x:c>
      <x:c r="C21" s="3" t="b">
        <x:v>1</x:v>
      </x:c>
      <x:c r="D21" s="2" t="s">
        <x:v>13</x:v>
      </x:c>
      <x:c r="E21" s="2" t="s">
        <x:v>14</x:v>
      </x:c>
      <x:c r="F21" s="2" t="s">
        <x:v>15</x:v>
      </x:c>
      <x:c r="G21" s="2" t="s">
        <x:v>16</x:v>
      </x:c>
      <x:c r="H21" s="2" t="s">
        <x:v>26</x:v>
      </x:c>
      <x:c r="I21" s="2" t="s">
        <x:v>22</x:v>
      </x:c>
      <x:c r="J21" s="2">
        <x:v>5</x:v>
      </x:c>
      <x:c r="K21" s="2" t="s">
        <x:v>19</x:v>
      </x:c>
    </x:row>
    <x:row r="22" ht="15">
      <x:c r="A22" s="2" t="s">
        <x:v>43</x:v>
      </x:c>
      <x:c r="B22" s="2" t="s">
        <x:v>12</x:v>
      </x:c>
      <x:c r="C22" s="3" t="b">
        <x:v>1</x:v>
      </x:c>
      <x:c r="D22" s="2" t="s">
        <x:v>13</x:v>
      </x:c>
      <x:c r="E22" s="2" t="s">
        <x:v>14</x:v>
      </x:c>
      <x:c r="F22" s="2" t="s">
        <x:v>15</x:v>
      </x:c>
      <x:c r="G22" s="2" t="s">
        <x:v>16</x:v>
      </x:c>
      <x:c r="H22" s="2" t="s">
        <x:v>17</x:v>
      </x:c>
      <x:c r="I22" s="2" t="s">
        <x:v>18</x:v>
      </x:c>
      <x:c r="J22" s="2">
        <x:v>5</x:v>
      </x:c>
      <x:c r="K22" s="2" t="s">
        <x:v>19</x:v>
      </x:c>
    </x:row>
    <x:row r="23" ht="15">
      <x:c r="A23" s="2" t="s">
        <x:v>44</x:v>
      </x:c>
      <x:c r="B23" s="2" t="s">
        <x:v>12</x:v>
      </x:c>
      <x:c r="C23" s="3" t="b">
        <x:v>1</x:v>
      </x:c>
      <x:c r="D23" s="2" t="s">
        <x:v>13</x:v>
      </x:c>
      <x:c r="E23" s="2" t="s">
        <x:v>14</x:v>
      </x:c>
      <x:c r="F23" s="2" t="s">
        <x:v>15</x:v>
      </x:c>
      <x:c r="G23" s="2" t="s">
        <x:v>16</x:v>
      </x:c>
      <x:c r="H23" s="2" t="s">
        <x:v>21</x:v>
      </x:c>
      <x:c r="I23" s="2" t="s">
        <x:v>22</x:v>
      </x:c>
      <x:c r="J23" s="2">
        <x:v>5</x:v>
      </x:c>
      <x:c r="K23" s="2" t="s">
        <x:v>19</x:v>
      </x:c>
    </x:row>
    <x:row r="24" ht="15">
      <x:c r="A24" s="2" t="s">
        <x:v>45</x:v>
      </x:c>
      <x:c r="B24" s="2" t="s">
        <x:v>12</x:v>
      </x:c>
      <x:c r="C24" s="3" t="b">
        <x:v>1</x:v>
      </x:c>
      <x:c r="D24" s="2" t="s">
        <x:v>13</x:v>
      </x:c>
      <x:c r="E24" s="2" t="s">
        <x:v>14</x:v>
      </x:c>
      <x:c r="F24" s="2" t="s">
        <x:v>15</x:v>
      </x:c>
      <x:c r="G24" s="2" t="s">
        <x:v>16</x:v>
      </x:c>
      <x:c r="H24" s="2" t="s">
        <x:v>24</x:v>
      </x:c>
      <x:c r="I24" s="2" t="s">
        <x:v>18</x:v>
      </x:c>
      <x:c r="J24" s="2">
        <x:v>5</x:v>
      </x:c>
      <x:c r="K24" s="2" t="s">
        <x:v>19</x:v>
      </x:c>
    </x:row>
    <x:row r="25" ht="15">
      <x:c r="A25" s="2" t="s">
        <x:v>46</x:v>
      </x:c>
      <x:c r="B25" s="2" t="s">
        <x:v>12</x:v>
      </x:c>
      <x:c r="C25" s="3" t="b">
        <x:v>1</x:v>
      </x:c>
      <x:c r="D25" s="2" t="s">
        <x:v>13</x:v>
      </x:c>
      <x:c r="E25" s="2" t="s">
        <x:v>14</x:v>
      </x:c>
      <x:c r="F25" s="2" t="s">
        <x:v>15</x:v>
      </x:c>
      <x:c r="G25" s="2" t="s">
        <x:v>16</x:v>
      </x:c>
      <x:c r="H25" s="2" t="s">
        <x:v>26</x:v>
      </x:c>
      <x:c r="I25" s="2" t="s">
        <x:v>22</x:v>
      </x:c>
      <x:c r="J25" s="2">
        <x:v>5</x:v>
      </x:c>
      <x:c r="K25" s="2" t="s">
        <x:v>19</x:v>
      </x:c>
    </x:row>
    <x:row r="26" ht="15">
      <x:c r="A26" s="2" t="s">
        <x:v>47</x:v>
      </x:c>
      <x:c r="B26" s="2" t="s">
        <x:v>12</x:v>
      </x:c>
      <x:c r="C26" s="3" t="b">
        <x:v>1</x:v>
      </x:c>
      <x:c r="D26" s="2" t="s">
        <x:v>13</x:v>
      </x:c>
      <x:c r="E26" s="2" t="s">
        <x:v>14</x:v>
      </x:c>
      <x:c r="F26" s="2" t="s">
        <x:v>15</x:v>
      </x:c>
      <x:c r="G26" s="2" t="s">
        <x:v>16</x:v>
      </x:c>
      <x:c r="H26" s="2" t="s">
        <x:v>17</x:v>
      </x:c>
      <x:c r="I26" s="2" t="s">
        <x:v>18</x:v>
      </x:c>
      <x:c r="J26" s="2">
        <x:v>5</x:v>
      </x:c>
      <x:c r="K26" s="2" t="s">
        <x:v>19</x:v>
      </x:c>
    </x:row>
    <x:row r="27" ht="15">
      <x:c r="A27" s="2" t="s">
        <x:v>48</x:v>
      </x:c>
      <x:c r="B27" s="2" t="s">
        <x:v>12</x:v>
      </x:c>
      <x:c r="C27" s="3" t="b">
        <x:v>1</x:v>
      </x:c>
      <x:c r="D27" s="2" t="s">
        <x:v>13</x:v>
      </x:c>
      <x:c r="E27" s="2" t="s">
        <x:v>14</x:v>
      </x:c>
      <x:c r="F27" s="2" t="s">
        <x:v>15</x:v>
      </x:c>
      <x:c r="G27" s="2" t="s">
        <x:v>16</x:v>
      </x:c>
      <x:c r="H27" s="2" t="s">
        <x:v>21</x:v>
      </x:c>
      <x:c r="I27" s="2" t="s">
        <x:v>22</x:v>
      </x:c>
      <x:c r="J27" s="2">
        <x:v>5</x:v>
      </x:c>
      <x:c r="K27" s="2" t="s">
        <x:v>19</x:v>
      </x:c>
    </x:row>
    <x:row r="28" ht="15">
      <x:c r="A28" s="2" t="s">
        <x:v>49</x:v>
      </x:c>
      <x:c r="B28" s="2" t="s">
        <x:v>12</x:v>
      </x:c>
      <x:c r="C28" s="3" t="b">
        <x:v>1</x:v>
      </x:c>
      <x:c r="D28" s="2" t="s">
        <x:v>13</x:v>
      </x:c>
      <x:c r="E28" s="2" t="s">
        <x:v>14</x:v>
      </x:c>
      <x:c r="F28" s="2" t="s">
        <x:v>15</x:v>
      </x:c>
      <x:c r="G28" s="2" t="s">
        <x:v>16</x:v>
      </x:c>
      <x:c r="H28" s="2" t="s">
        <x:v>24</x:v>
      </x:c>
      <x:c r="I28" s="2" t="s">
        <x:v>18</x:v>
      </x:c>
      <x:c r="J28" s="2">
        <x:v>5</x:v>
      </x:c>
      <x:c r="K28" s="2" t="s">
        <x:v>19</x:v>
      </x:c>
    </x:row>
    <x:row r="29" ht="15">
      <x:c r="A29" s="2" t="s">
        <x:v>50</x:v>
      </x:c>
      <x:c r="B29" s="2" t="s">
        <x:v>12</x:v>
      </x:c>
      <x:c r="C29" s="3" t="b">
        <x:v>1</x:v>
      </x:c>
      <x:c r="D29" s="2" t="s">
        <x:v>13</x:v>
      </x:c>
      <x:c r="E29" s="2" t="s">
        <x:v>14</x:v>
      </x:c>
      <x:c r="F29" s="2" t="s">
        <x:v>15</x:v>
      </x:c>
      <x:c r="G29" s="2" t="s">
        <x:v>16</x:v>
      </x:c>
      <x:c r="H29" s="2" t="s">
        <x:v>26</x:v>
      </x:c>
      <x:c r="I29" s="2" t="s">
        <x:v>22</x:v>
      </x:c>
      <x:c r="J29" s="2">
        <x:v>5</x:v>
      </x:c>
      <x:c r="K29" s="2" t="s">
        <x:v>19</x:v>
      </x:c>
    </x:row>
    <x:row r="30" ht="15">
      <x:c r="A30" s="2" t="s">
        <x:v>51</x:v>
      </x:c>
      <x:c r="B30" s="2" t="s">
        <x:v>12</x:v>
      </x:c>
      <x:c r="C30" s="3" t="b">
        <x:v>1</x:v>
      </x:c>
      <x:c r="D30" s="2" t="s">
        <x:v>13</x:v>
      </x:c>
      <x:c r="E30" s="2" t="s">
        <x:v>14</x:v>
      </x:c>
      <x:c r="F30" s="2" t="s">
        <x:v>15</x:v>
      </x:c>
      <x:c r="G30" s="2" t="s">
        <x:v>16</x:v>
      </x:c>
      <x:c r="H30" s="2" t="s">
        <x:v>17</x:v>
      </x:c>
      <x:c r="I30" s="2" t="s">
        <x:v>18</x:v>
      </x:c>
      <x:c r="J30" s="2">
        <x:v>5</x:v>
      </x:c>
      <x:c r="K30" s="2" t="s">
        <x:v>19</x:v>
      </x:c>
    </x:row>
    <x:row r="31" ht="15">
      <x:c r="A31" s="2" t="s">
        <x:v>52</x:v>
      </x:c>
      <x:c r="B31" s="2" t="s">
        <x:v>12</x:v>
      </x:c>
      <x:c r="C31" s="3" t="b">
        <x:v>1</x:v>
      </x:c>
      <x:c r="D31" s="2" t="s">
        <x:v>13</x:v>
      </x:c>
      <x:c r="E31" s="2" t="s">
        <x:v>14</x:v>
      </x:c>
      <x:c r="F31" s="2" t="s">
        <x:v>15</x:v>
      </x:c>
      <x:c r="G31" s="2" t="s">
        <x:v>16</x:v>
      </x:c>
      <x:c r="H31" s="2" t="s">
        <x:v>21</x:v>
      </x:c>
      <x:c r="I31" s="2" t="s">
        <x:v>22</x:v>
      </x:c>
      <x:c r="J31" s="2">
        <x:v>5</x:v>
      </x:c>
      <x:c r="K31" s="2" t="s">
        <x:v>19</x:v>
      </x:c>
    </x:row>
    <x:row r="32" ht="15">
      <x:c r="A32" s="2" t="s">
        <x:v>53</x:v>
      </x:c>
      <x:c r="B32" s="2" t="s">
        <x:v>12</x:v>
      </x:c>
      <x:c r="C32" s="3" t="b">
        <x:v>1</x:v>
      </x:c>
      <x:c r="D32" s="2" t="s">
        <x:v>13</x:v>
      </x:c>
      <x:c r="E32" s="2" t="s">
        <x:v>14</x:v>
      </x:c>
      <x:c r="F32" s="2" t="s">
        <x:v>15</x:v>
      </x:c>
      <x:c r="G32" s="2" t="s">
        <x:v>16</x:v>
      </x:c>
      <x:c r="H32" s="2" t="s">
        <x:v>24</x:v>
      </x:c>
      <x:c r="I32" s="2" t="s">
        <x:v>18</x:v>
      </x:c>
      <x:c r="J32" s="2">
        <x:v>5</x:v>
      </x:c>
      <x:c r="K32" s="2" t="s">
        <x:v>19</x:v>
      </x:c>
    </x:row>
    <x:row r="33" ht="15">
      <x:c r="A33" s="2" t="s">
        <x:v>54</x:v>
      </x:c>
      <x:c r="B33" s="2" t="s">
        <x:v>12</x:v>
      </x:c>
      <x:c r="C33" s="3" t="b">
        <x:v>1</x:v>
      </x:c>
      <x:c r="D33" s="2" t="s">
        <x:v>13</x:v>
      </x:c>
      <x:c r="E33" s="2" t="s">
        <x:v>14</x:v>
      </x:c>
      <x:c r="F33" s="2" t="s">
        <x:v>15</x:v>
      </x:c>
      <x:c r="G33" s="2" t="s">
        <x:v>16</x:v>
      </x:c>
      <x:c r="H33" s="2" t="s">
        <x:v>26</x:v>
      </x:c>
      <x:c r="I33" s="2" t="s">
        <x:v>22</x:v>
      </x:c>
      <x:c r="J33" s="2">
        <x:v>5</x:v>
      </x:c>
      <x:c r="K33" s="2" t="s">
        <x:v>19</x:v>
      </x:c>
    </x:row>
    <x:row r="34" ht="15">
      <x:c r="A34" s="2" t="s">
        <x:v>55</x:v>
      </x:c>
      <x:c r="B34" s="2" t="s">
        <x:v>12</x:v>
      </x:c>
      <x:c r="C34" s="3" t="b">
        <x:v>1</x:v>
      </x:c>
      <x:c r="D34" s="2" t="s">
        <x:v>13</x:v>
      </x:c>
      <x:c r="E34" s="2" t="s">
        <x:v>14</x:v>
      </x:c>
      <x:c r="F34" s="2" t="s">
        <x:v>15</x:v>
      </x:c>
      <x:c r="G34" s="2" t="s">
        <x:v>16</x:v>
      </x:c>
      <x:c r="H34" s="2" t="s">
        <x:v>17</x:v>
      </x:c>
      <x:c r="I34" s="2" t="s">
        <x:v>18</x:v>
      </x:c>
      <x:c r="J34" s="2">
        <x:v>5</x:v>
      </x:c>
      <x:c r="K34" s="2" t="s">
        <x:v>19</x:v>
      </x:c>
    </x:row>
    <x:row r="35" ht="15">
      <x:c r="A35" s="2" t="s">
        <x:v>56</x:v>
      </x:c>
      <x:c r="B35" s="2" t="s">
        <x:v>12</x:v>
      </x:c>
      <x:c r="C35" s="3" t="b">
        <x:v>1</x:v>
      </x:c>
      <x:c r="D35" s="2" t="s">
        <x:v>13</x:v>
      </x:c>
      <x:c r="E35" s="2" t="s">
        <x:v>14</x:v>
      </x:c>
      <x:c r="F35" s="2" t="s">
        <x:v>15</x:v>
      </x:c>
      <x:c r="G35" s="2" t="s">
        <x:v>16</x:v>
      </x:c>
      <x:c r="H35" s="2" t="s">
        <x:v>21</x:v>
      </x:c>
      <x:c r="I35" s="2" t="s">
        <x:v>22</x:v>
      </x:c>
      <x:c r="J35" s="2">
        <x:v>5</x:v>
      </x:c>
      <x:c r="K35" s="2" t="s">
        <x:v>19</x:v>
      </x:c>
    </x:row>
    <x:row r="36" ht="15">
      <x:c r="A36" s="2" t="s">
        <x:v>57</x:v>
      </x:c>
      <x:c r="B36" s="2" t="s">
        <x:v>12</x:v>
      </x:c>
      <x:c r="C36" s="3" t="b">
        <x:v>1</x:v>
      </x:c>
      <x:c r="D36" s="2" t="s">
        <x:v>13</x:v>
      </x:c>
      <x:c r="E36" s="2" t="s">
        <x:v>14</x:v>
      </x:c>
      <x:c r="F36" s="2" t="s">
        <x:v>15</x:v>
      </x:c>
      <x:c r="G36" s="2" t="s">
        <x:v>16</x:v>
      </x:c>
      <x:c r="H36" s="2" t="s">
        <x:v>24</x:v>
      </x:c>
      <x:c r="I36" s="2" t="s">
        <x:v>18</x:v>
      </x:c>
      <x:c r="J36" s="2">
        <x:v>5</x:v>
      </x:c>
      <x:c r="K36" s="2" t="s">
        <x:v>19</x:v>
      </x:c>
    </x:row>
    <x:row r="37" ht="15">
      <x:c r="A37" s="2" t="s">
        <x:v>58</x:v>
      </x:c>
      <x:c r="B37" s="2" t="s">
        <x:v>12</x:v>
      </x:c>
      <x:c r="C37" s="3" t="b">
        <x:v>1</x:v>
      </x:c>
      <x:c r="D37" s="2" t="s">
        <x:v>13</x:v>
      </x:c>
      <x:c r="E37" s="2" t="s">
        <x:v>14</x:v>
      </x:c>
      <x:c r="F37" s="2" t="s">
        <x:v>15</x:v>
      </x:c>
      <x:c r="G37" s="2" t="s">
        <x:v>16</x:v>
      </x:c>
      <x:c r="H37" s="2" t="s">
        <x:v>26</x:v>
      </x:c>
      <x:c r="I37" s="2" t="s">
        <x:v>22</x:v>
      </x:c>
      <x:c r="J37" s="2">
        <x:v>5</x:v>
      </x:c>
      <x:c r="K37" s="2" t="s">
        <x:v>19</x:v>
      </x:c>
    </x:row>
    <x:row r="38" ht="15">
      <x:c r="A38" s="2" t="s">
        <x:v>59</x:v>
      </x:c>
      <x:c r="B38" s="2" t="s">
        <x:v>12</x:v>
      </x:c>
      <x:c r="C38" s="3" t="b">
        <x:v>1</x:v>
      </x:c>
      <x:c r="D38" s="2" t="s">
        <x:v>13</x:v>
      </x:c>
      <x:c r="E38" s="2" t="s">
        <x:v>14</x:v>
      </x:c>
      <x:c r="F38" s="2" t="s">
        <x:v>15</x:v>
      </x:c>
      <x:c r="G38" s="2" t="s">
        <x:v>16</x:v>
      </x:c>
      <x:c r="H38" s="2" t="s">
        <x:v>17</x:v>
      </x:c>
      <x:c r="I38" s="2" t="s">
        <x:v>18</x:v>
      </x:c>
      <x:c r="J38" s="2">
        <x:v>5</x:v>
      </x:c>
      <x:c r="K38" s="2" t="s">
        <x:v>19</x:v>
      </x:c>
    </x:row>
    <x:row r="39" ht="15">
      <x:c r="A39" s="2" t="s">
        <x:v>60</x:v>
      </x:c>
      <x:c r="B39" s="2" t="s">
        <x:v>12</x:v>
      </x:c>
      <x:c r="C39" s="3" t="b">
        <x:v>1</x:v>
      </x:c>
      <x:c r="D39" s="2" t="s">
        <x:v>13</x:v>
      </x:c>
      <x:c r="E39" s="2" t="s">
        <x:v>14</x:v>
      </x:c>
      <x:c r="F39" s="2" t="s">
        <x:v>15</x:v>
      </x:c>
      <x:c r="G39" s="2" t="s">
        <x:v>16</x:v>
      </x:c>
      <x:c r="H39" s="2" t="s">
        <x:v>21</x:v>
      </x:c>
      <x:c r="I39" s="2" t="s">
        <x:v>22</x:v>
      </x:c>
      <x:c r="J39" s="2">
        <x:v>5</x:v>
      </x:c>
      <x:c r="K39" s="2" t="s">
        <x:v>19</x:v>
      </x:c>
    </x:row>
    <x:row r="40" ht="15">
      <x:c r="A40" s="2" t="s">
        <x:v>61</x:v>
      </x:c>
      <x:c r="B40" s="2" t="s">
        <x:v>12</x:v>
      </x:c>
      <x:c r="C40" s="3" t="b">
        <x:v>1</x:v>
      </x:c>
      <x:c r="D40" s="2" t="s">
        <x:v>13</x:v>
      </x:c>
      <x:c r="E40" s="2" t="s">
        <x:v>14</x:v>
      </x:c>
      <x:c r="F40" s="2" t="s">
        <x:v>15</x:v>
      </x:c>
      <x:c r="G40" s="2" t="s">
        <x:v>16</x:v>
      </x:c>
      <x:c r="H40" s="2" t="s">
        <x:v>24</x:v>
      </x:c>
      <x:c r="I40" s="2" t="s">
        <x:v>18</x:v>
      </x:c>
      <x:c r="J40" s="2">
        <x:v>5</x:v>
      </x:c>
      <x:c r="K40" s="2" t="s">
        <x:v>19</x:v>
      </x:c>
    </x:row>
    <x:row r="41" ht="15">
      <x:c r="A41" s="2" t="s">
        <x:v>62</x:v>
      </x:c>
      <x:c r="B41" s="2" t="s">
        <x:v>12</x:v>
      </x:c>
      <x:c r="C41" s="3" t="b">
        <x:v>1</x:v>
      </x:c>
      <x:c r="D41" s="2" t="s">
        <x:v>13</x:v>
      </x:c>
      <x:c r="E41" s="2" t="s">
        <x:v>14</x:v>
      </x:c>
      <x:c r="F41" s="2" t="s">
        <x:v>15</x:v>
      </x:c>
      <x:c r="G41" s="2" t="s">
        <x:v>16</x:v>
      </x:c>
      <x:c r="H41" s="2" t="s">
        <x:v>26</x:v>
      </x:c>
      <x:c r="I41" s="2" t="s">
        <x:v>22</x:v>
      </x:c>
      <x:c r="J41" s="2">
        <x:v>5</x:v>
      </x:c>
      <x:c r="K41" s="2" t="s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5957d29d536846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16" customWidth="1"/>
    <x:col min="3" max="5" width="15" customWidth="1"/>
    <x:col min="6" max="10" width="22" customWidth="1"/>
    <x:col min="11" max="14" width="18" customWidth="1"/>
    <x:col min="15" max="17" width="22" customWidth="1"/>
  </x:cols>
  <x:sheetData>
    <x:row r="1" ht="34" customHeight="1">
      <x:c r="A1" s="1" t="s">
        <x:v>63</x:v>
      </x:c>
      <x:c r="B1" s="1" t="s">
        <x:v>0</x:v>
      </x:c>
      <x:c r="C1" s="1" t="s">
        <x:v>64</x:v>
      </x:c>
      <x:c r="D1" s="1" t="s">
        <x:v>65</x:v>
      </x:c>
      <x:c r="E1" s="1" t="s">
        <x:v>66</x:v>
      </x:c>
      <x:c r="F1" s="1" t="s">
        <x:v>67</x:v>
      </x:c>
      <x:c r="G1" s="1" t="s">
        <x:v>68</x:v>
      </x:c>
      <x:c r="H1" s="1" t="s">
        <x:v>69</x:v>
      </x:c>
      <x:c r="I1" s="1" t="s">
        <x:v>70</x:v>
      </x:c>
      <x:c r="J1" s="1" t="s">
        <x:v>71</x:v>
      </x:c>
      <x:c r="K1" s="1" t="s">
        <x:v>72</x:v>
      </x:c>
      <x:c r="L1" s="1" t="s">
        <x:v>73</x:v>
      </x:c>
      <x:c r="M1" s="1" t="s">
        <x:v>74</x:v>
      </x:c>
      <x:c r="N1" s="1" t="s">
        <x:v>75</x:v>
      </x:c>
      <x:c r="O1" s="1" t="s">
        <x:v>2</x:v>
      </x:c>
      <x:c r="P1" s="1" t="s">
        <x:v>76</x:v>
      </x:c>
      <x:c r="Q1" s="1" t="s">
        <x:v>77</x:v>
      </x:c>
    </x:row>
    <x:row r="2" ht="15">
      <x:c r="A2" s="2" t="s">
        <x:v>78</x:v>
      </x:c>
      <x:c r="B2" s="2" t="s">
        <x:v>11</x:v>
      </x:c>
      <x:c r="C2" s="2">
        <x:v>1</x:v>
      </x:c>
      <x:c r="D2" s="4">
        <x:v>46174.375694444447</x:v>
      </x:c>
      <x:c r="E2" s="2">
        <x:v>0</x:v>
      </x:c>
      <x:c r="F2" s="2" t="s">
        <x:v>79</x:v>
      </x:c>
      <x:c r="G2" s="2" t="s">
        <x:v>80</x:v>
      </x:c>
      <x:c r="H2" s="2" t="s">
        <x:v>81</x:v>
      </x:c>
      <x:c r="I2" s="2" t="s">
        <x:v>82</x:v>
      </x:c>
      <x:c r="J2" s="2">
        <x:v>15</x:v>
      </x:c>
      <x:c r="K2" s="5">
        <x:v>62.1</x:v>
      </x:c>
      <x:c r="L2" s="2">
        <x:v>505</x:v>
      </x:c>
      <x:c r="M2" s="2" t="s">
        <x:v>83</x:v>
      </x:c>
      <x:c r="N2" s="2" t="s">
        <x:v>84</x:v>
      </x:c>
      <x:c r="O2" s="6" t="b">
        <x:v>1</x:v>
      </x:c>
      <x:c r="P2" s="2" t="n">
        <x:f>COUNTIF('模块测量'!$B$2:$B$801,A2)</x:f>
        <x:v>4</x:v>
      </x:c>
      <x:c r="Q2" s="2" t="str">
        <x:f t="shared" ref="Q2:Q33" si="0">IF(P2=4,"PASS","CHECK")</x:f>
        <x:v>PASS</x:v>
      </x:c>
    </x:row>
    <x:row r="3" ht="15">
      <x:c r="A3" s="2" t="s">
        <x:v>85</x:v>
      </x:c>
      <x:c r="B3" s="2" t="s">
        <x:v>11</x:v>
      </x:c>
      <x:c r="C3" s="2">
        <x:v>2</x:v>
      </x:c>
      <x:c r="D3" s="4">
        <x:v>46181.375694444447</x:v>
      </x:c>
      <x:c r="E3" s="2">
        <x:v>7</x:v>
      </x:c>
      <x:c r="F3" s="2" t="s">
        <x:v>79</x:v>
      </x:c>
      <x:c r="G3" s="2" t="s">
        <x:v>80</x:v>
      </x:c>
      <x:c r="H3" s="2" t="s">
        <x:v>81</x:v>
      </x:c>
      <x:c r="I3" s="2" t="s">
        <x:v>82</x:v>
      </x:c>
      <x:c r="J3" s="2">
        <x:v>15</x:v>
      </x:c>
      <x:c r="K3" s="5">
        <x:v>58.5</x:v>
      </x:c>
      <x:c r="L3" s="2">
        <x:v>560</x:v>
      </x:c>
      <x:c r="M3" s="2" t="s">
        <x:v>83</x:v>
      </x:c>
      <x:c r="N3" s="2" t="s">
        <x:v>84</x:v>
      </x:c>
      <x:c r="O3" s="6" t="b">
        <x:v>1</x:v>
      </x:c>
      <x:c r="P3" s="2" t="n">
        <x:f>COUNTIF('模块测量'!$B$2:$B$801,A3)</x:f>
        <x:v>4</x:v>
      </x:c>
      <x:c r="Q3" s="2" t="str">
        <x:f t="shared" si="0">IF(P3=4,"PASS","CHECK")</x:f>
        <x:v>PASS</x:v>
      </x:c>
    </x:row>
    <x:row r="4" ht="15">
      <x:c r="A4" s="2" t="s">
        <x:v>86</x:v>
      </x:c>
      <x:c r="B4" s="2" t="s">
        <x:v>11</x:v>
      </x:c>
      <x:c r="C4" s="2">
        <x:v>3</x:v>
      </x:c>
      <x:c r="D4" s="4">
        <x:v>46188.375694444447</x:v>
      </x:c>
      <x:c r="E4" s="2">
        <x:v>14</x:v>
      </x:c>
      <x:c r="F4" s="2" t="s">
        <x:v>79</x:v>
      </x:c>
      <x:c r="G4" s="2" t="s">
        <x:v>80</x:v>
      </x:c>
      <x:c r="H4" s="2" t="s">
        <x:v>81</x:v>
      </x:c>
      <x:c r="I4" s="2" t="s">
        <x:v>82</x:v>
      </x:c>
      <x:c r="J4" s="2">
        <x:v>15</x:v>
      </x:c>
      <x:c r="K4" s="5">
        <x:v>63.8</x:v>
      </x:c>
      <x:c r="L4" s="2">
        <x:v>338</x:v>
      </x:c>
      <x:c r="M4" s="2" t="s">
        <x:v>83</x:v>
      </x:c>
      <x:c r="N4" s="2" t="s">
        <x:v>84</x:v>
      </x:c>
      <x:c r="O4" s="6" t="b">
        <x:v>1</x:v>
      </x:c>
      <x:c r="P4" s="2" t="n">
        <x:f>COUNTIF('模块测量'!$B$2:$B$801,A4)</x:f>
        <x:v>4</x:v>
      </x:c>
      <x:c r="Q4" s="2" t="str">
        <x:f t="shared" si="0">IF(P4=4,"PASS","CHECK")</x:f>
        <x:v>PASS</x:v>
      </x:c>
    </x:row>
    <x:row r="5" ht="15">
      <x:c r="A5" s="2" t="s">
        <x:v>87</x:v>
      </x:c>
      <x:c r="B5" s="2" t="s">
        <x:v>11</x:v>
      </x:c>
      <x:c r="C5" s="2">
        <x:v>4</x:v>
      </x:c>
      <x:c r="D5" s="4">
        <x:v>46195.375694444447</x:v>
      </x:c>
      <x:c r="E5" s="2">
        <x:v>21</x:v>
      </x:c>
      <x:c r="F5" s="2" t="s">
        <x:v>79</x:v>
      </x:c>
      <x:c r="G5" s="2" t="s">
        <x:v>80</x:v>
      </x:c>
      <x:c r="H5" s="2" t="s">
        <x:v>81</x:v>
      </x:c>
      <x:c r="I5" s="2" t="s">
        <x:v>82</x:v>
      </x:c>
      <x:c r="J5" s="2">
        <x:v>15</x:v>
      </x:c>
      <x:c r="K5" s="5">
        <x:v>62.5</x:v>
      </x:c>
      <x:c r="L5" s="2">
        <x:v>430</x:v>
      </x:c>
      <x:c r="M5" s="2" t="s">
        <x:v>83</x:v>
      </x:c>
      <x:c r="N5" s="2" t="s">
        <x:v>84</x:v>
      </x:c>
      <x:c r="O5" s="6" t="b">
        <x:v>1</x:v>
      </x:c>
      <x:c r="P5" s="2" t="n">
        <x:f>COUNTIF('模块测量'!$B$2:$B$801,A5)</x:f>
        <x:v>4</x:v>
      </x:c>
      <x:c r="Q5" s="2" t="str">
        <x:f t="shared" si="0">IF(P5=4,"PASS","CHECK")</x:f>
        <x:v>PASS</x:v>
      </x:c>
    </x:row>
    <x:row r="6" ht="15">
      <x:c r="A6" s="2" t="s">
        <x:v>88</x:v>
      </x:c>
      <x:c r="B6" s="2" t="s">
        <x:v>11</x:v>
      </x:c>
      <x:c r="C6" s="2">
        <x:v>5</x:v>
      </x:c>
      <x:c r="D6" s="4">
        <x:v>46202.375694444447</x:v>
      </x:c>
      <x:c r="E6" s="2">
        <x:v>28</x:v>
      </x:c>
      <x:c r="F6" s="2" t="s">
        <x:v>79</x:v>
      </x:c>
      <x:c r="G6" s="2" t="s">
        <x:v>80</x:v>
      </x:c>
      <x:c r="H6" s="2" t="s">
        <x:v>81</x:v>
      </x:c>
      <x:c r="I6" s="2" t="s">
        <x:v>82</x:v>
      </x:c>
      <x:c r="J6" s="2">
        <x:v>15</x:v>
      </x:c>
      <x:c r="K6" s="5">
        <x:v>59.8</x:v>
      </x:c>
      <x:c r="L6" s="2">
        <x:v>474</x:v>
      </x:c>
      <x:c r="M6" s="2" t="s">
        <x:v>83</x:v>
      </x:c>
      <x:c r="N6" s="2" t="s">
        <x:v>84</x:v>
      </x:c>
      <x:c r="O6" s="6" t="b">
        <x:v>1</x:v>
      </x:c>
      <x:c r="P6" s="2" t="n">
        <x:f>COUNTIF('模块测量'!$B$2:$B$801,A6)</x:f>
        <x:v>4</x:v>
      </x:c>
      <x:c r="Q6" s="2" t="str">
        <x:f t="shared" si="0">IF(P6=4,"PASS","CHECK")</x:f>
        <x:v>PASS</x:v>
      </x:c>
    </x:row>
    <x:row r="7" ht="15">
      <x:c r="A7" s="2" t="s">
        <x:v>89</x:v>
      </x:c>
      <x:c r="B7" s="2" t="s">
        <x:v>20</x:v>
      </x:c>
      <x:c r="C7" s="2">
        <x:v>1</x:v>
      </x:c>
      <x:c r="D7" s="4">
        <x:v>46175.376388888886</x:v>
      </x:c>
      <x:c r="E7" s="2">
        <x:v>1</x:v>
      </x:c>
      <x:c r="F7" s="2" t="s">
        <x:v>79</x:v>
      </x:c>
      <x:c r="G7" s="2" t="s">
        <x:v>80</x:v>
      </x:c>
      <x:c r="H7" s="2" t="s">
        <x:v>81</x:v>
      </x:c>
      <x:c r="I7" s="2" t="s">
        <x:v>82</x:v>
      </x:c>
      <x:c r="J7" s="2">
        <x:v>15</x:v>
      </x:c>
      <x:c r="K7" s="5">
        <x:v>56.3</x:v>
      </x:c>
      <x:c r="L7" s="2">
        <x:v>543</x:v>
      </x:c>
      <x:c r="M7" s="2" t="s">
        <x:v>83</x:v>
      </x:c>
      <x:c r="N7" s="2" t="s">
        <x:v>84</x:v>
      </x:c>
      <x:c r="O7" s="6" t="b">
        <x:v>1</x:v>
      </x:c>
      <x:c r="P7" s="2" t="n">
        <x:f>COUNTIF('模块测量'!$B$2:$B$801,A7)</x:f>
        <x:v>4</x:v>
      </x:c>
      <x:c r="Q7" s="2" t="str">
        <x:f t="shared" si="0">IF(P7=4,"PASS","CHECK")</x:f>
        <x:v>PASS</x:v>
      </x:c>
    </x:row>
    <x:row r="8" ht="15">
      <x:c r="A8" s="2" t="s">
        <x:v>90</x:v>
      </x:c>
      <x:c r="B8" s="2" t="s">
        <x:v>20</x:v>
      </x:c>
      <x:c r="C8" s="2">
        <x:v>2</x:v>
      </x:c>
      <x:c r="D8" s="4">
        <x:v>46182.376388888886</x:v>
      </x:c>
      <x:c r="E8" s="2">
        <x:v>8</x:v>
      </x:c>
      <x:c r="F8" s="2" t="s">
        <x:v>79</x:v>
      </x:c>
      <x:c r="G8" s="2" t="s">
        <x:v>80</x:v>
      </x:c>
      <x:c r="H8" s="2" t="s">
        <x:v>81</x:v>
      </x:c>
      <x:c r="I8" s="2" t="s">
        <x:v>82</x:v>
      </x:c>
      <x:c r="J8" s="2">
        <x:v>15</x:v>
      </x:c>
      <x:c r="K8" s="5">
        <x:v>60.2</x:v>
      </x:c>
      <x:c r="L8" s="2">
        <x:v>435</x:v>
      </x:c>
      <x:c r="M8" s="2" t="s">
        <x:v>83</x:v>
      </x:c>
      <x:c r="N8" s="2" t="s">
        <x:v>84</x:v>
      </x:c>
      <x:c r="O8" s="6" t="b">
        <x:v>1</x:v>
      </x:c>
      <x:c r="P8" s="2" t="n">
        <x:f>COUNTIF('模块测量'!$B$2:$B$801,A8)</x:f>
        <x:v>4</x:v>
      </x:c>
      <x:c r="Q8" s="2" t="str">
        <x:f t="shared" si="0">IF(P8=4,"PASS","CHECK")</x:f>
        <x:v>PASS</x:v>
      </x:c>
    </x:row>
    <x:row r="9" ht="15">
      <x:c r="A9" s="2" t="s">
        <x:v>91</x:v>
      </x:c>
      <x:c r="B9" s="2" t="s">
        <x:v>20</x:v>
      </x:c>
      <x:c r="C9" s="2">
        <x:v>3</x:v>
      </x:c>
      <x:c r="D9" s="4">
        <x:v>46189.376388888886</x:v>
      </x:c>
      <x:c r="E9" s="2">
        <x:v>15</x:v>
      </x:c>
      <x:c r="F9" s="2" t="s">
        <x:v>79</x:v>
      </x:c>
      <x:c r="G9" s="2" t="s">
        <x:v>80</x:v>
      </x:c>
      <x:c r="H9" s="2" t="s">
        <x:v>81</x:v>
      </x:c>
      <x:c r="I9" s="2" t="s">
        <x:v>82</x:v>
      </x:c>
      <x:c r="J9" s="2">
        <x:v>15</x:v>
      </x:c>
      <x:c r="K9" s="5">
        <x:v>66.900000000000006</x:v>
      </x:c>
      <x:c r="L9" s="2">
        <x:v>435</x:v>
      </x:c>
      <x:c r="M9" s="2" t="s">
        <x:v>83</x:v>
      </x:c>
      <x:c r="N9" s="2" t="s">
        <x:v>84</x:v>
      </x:c>
      <x:c r="O9" s="6" t="b">
        <x:v>1</x:v>
      </x:c>
      <x:c r="P9" s="2" t="n">
        <x:f>COUNTIF('模块测量'!$B$2:$B$801,A9)</x:f>
        <x:v>4</x:v>
      </x:c>
      <x:c r="Q9" s="2" t="str">
        <x:f t="shared" si="0">IF(P9=4,"PASS","CHECK")</x:f>
        <x:v>PASS</x:v>
      </x:c>
    </x:row>
    <x:row r="10" ht="15">
      <x:c r="A10" s="2" t="s">
        <x:v>92</x:v>
      </x:c>
      <x:c r="B10" s="2" t="s">
        <x:v>20</x:v>
      </x:c>
      <x:c r="C10" s="2">
        <x:v>4</x:v>
      </x:c>
      <x:c r="D10" s="4">
        <x:v>46196.376388888886</x:v>
      </x:c>
      <x:c r="E10" s="2">
        <x:v>22</x:v>
      </x:c>
      <x:c r="F10" s="2" t="s">
        <x:v>79</x:v>
      </x:c>
      <x:c r="G10" s="2" t="s">
        <x:v>80</x:v>
      </x:c>
      <x:c r="H10" s="2" t="s">
        <x:v>81</x:v>
      </x:c>
      <x:c r="I10" s="2" t="s">
        <x:v>82</x:v>
      </x:c>
      <x:c r="J10" s="2">
        <x:v>15</x:v>
      </x:c>
      <x:c r="K10" s="5">
        <x:v>58.7</x:v>
      </x:c>
      <x:c r="L10" s="2">
        <x:v>445</x:v>
      </x:c>
      <x:c r="M10" s="2" t="s">
        <x:v>83</x:v>
      </x:c>
      <x:c r="N10" s="2" t="s">
        <x:v>84</x:v>
      </x:c>
      <x:c r="O10" s="6" t="b">
        <x:v>1</x:v>
      </x:c>
      <x:c r="P10" s="2" t="n">
        <x:f>COUNTIF('模块测量'!$B$2:$B$801,A10)</x:f>
        <x:v>4</x:v>
      </x:c>
      <x:c r="Q10" s="2" t="str">
        <x:f t="shared" si="0">IF(P10=4,"PASS","CHECK")</x:f>
        <x:v>PASS</x:v>
      </x:c>
    </x:row>
    <x:row r="11" ht="15">
      <x:c r="A11" s="2" t="s">
        <x:v>93</x:v>
      </x:c>
      <x:c r="B11" s="2" t="s">
        <x:v>20</x:v>
      </x:c>
      <x:c r="C11" s="2">
        <x:v>5</x:v>
      </x:c>
      <x:c r="D11" s="4">
        <x:v>46203.376388888886</x:v>
      </x:c>
      <x:c r="E11" s="2">
        <x:v>29</x:v>
      </x:c>
      <x:c r="F11" s="2" t="s">
        <x:v>79</x:v>
      </x:c>
      <x:c r="G11" s="2" t="s">
        <x:v>80</x:v>
      </x:c>
      <x:c r="H11" s="2" t="s">
        <x:v>81</x:v>
      </x:c>
      <x:c r="I11" s="2" t="s">
        <x:v>82</x:v>
      </x:c>
      <x:c r="J11" s="2">
        <x:v>15</x:v>
      </x:c>
      <x:c r="K11" s="5">
        <x:v>57.9</x:v>
      </x:c>
      <x:c r="L11" s="2">
        <x:v>551</x:v>
      </x:c>
      <x:c r="M11" s="2" t="s">
        <x:v>83</x:v>
      </x:c>
      <x:c r="N11" s="2" t="s">
        <x:v>84</x:v>
      </x:c>
      <x:c r="O11" s="6" t="b">
        <x:v>1</x:v>
      </x:c>
      <x:c r="P11" s="2" t="n">
        <x:f>COUNTIF('模块测量'!$B$2:$B$801,A11)</x:f>
        <x:v>4</x:v>
      </x:c>
      <x:c r="Q11" s="2" t="str">
        <x:f t="shared" si="0">IF(P11=4,"PASS","CHECK")</x:f>
        <x:v>PASS</x:v>
      </x:c>
    </x:row>
    <x:row r="12" ht="15">
      <x:c r="A12" s="2" t="s">
        <x:v>94</x:v>
      </x:c>
      <x:c r="B12" s="2" t="s">
        <x:v>23</x:v>
      </x:c>
      <x:c r="C12" s="2">
        <x:v>1</x:v>
      </x:c>
      <x:c r="D12" s="4">
        <x:v>46176.377083333333</x:v>
      </x:c>
      <x:c r="E12" s="2">
        <x:v>2</x:v>
      </x:c>
      <x:c r="F12" s="2" t="s">
        <x:v>79</x:v>
      </x:c>
      <x:c r="G12" s="2" t="s">
        <x:v>80</x:v>
      </x:c>
      <x:c r="H12" s="2" t="s">
        <x:v>81</x:v>
      </x:c>
      <x:c r="I12" s="2" t="s">
        <x:v>82</x:v>
      </x:c>
      <x:c r="J12" s="2">
        <x:v>15</x:v>
      </x:c>
      <x:c r="K12" s="5">
        <x:v>54</x:v>
      </x:c>
      <x:c r="L12" s="2">
        <x:v>411</x:v>
      </x:c>
      <x:c r="M12" s="2" t="s">
        <x:v>83</x:v>
      </x:c>
      <x:c r="N12" s="2" t="s">
        <x:v>84</x:v>
      </x:c>
      <x:c r="O12" s="6" t="b">
        <x:v>1</x:v>
      </x:c>
      <x:c r="P12" s="2" t="n">
        <x:f>COUNTIF('模块测量'!$B$2:$B$801,A12)</x:f>
        <x:v>4</x:v>
      </x:c>
      <x:c r="Q12" s="2" t="str">
        <x:f t="shared" si="0">IF(P12=4,"PASS","CHECK")</x:f>
        <x:v>PASS</x:v>
      </x:c>
    </x:row>
    <x:row r="13" ht="15">
      <x:c r="A13" s="2" t="s">
        <x:v>95</x:v>
      </x:c>
      <x:c r="B13" s="2" t="s">
        <x:v>23</x:v>
      </x:c>
      <x:c r="C13" s="2">
        <x:v>2</x:v>
      </x:c>
      <x:c r="D13" s="4">
        <x:v>46183.377083333333</x:v>
      </x:c>
      <x:c r="E13" s="2">
        <x:v>9</x:v>
      </x:c>
      <x:c r="F13" s="2" t="s">
        <x:v>79</x:v>
      </x:c>
      <x:c r="G13" s="2" t="s">
        <x:v>80</x:v>
      </x:c>
      <x:c r="H13" s="2" t="s">
        <x:v>81</x:v>
      </x:c>
      <x:c r="I13" s="2" t="s">
        <x:v>82</x:v>
      </x:c>
      <x:c r="J13" s="2">
        <x:v>15</x:v>
      </x:c>
      <x:c r="K13" s="5">
        <x:v>62.4</x:v>
      </x:c>
      <x:c r="L13" s="2">
        <x:v>248</x:v>
      </x:c>
      <x:c r="M13" s="2" t="s">
        <x:v>83</x:v>
      </x:c>
      <x:c r="N13" s="2" t="s">
        <x:v>84</x:v>
      </x:c>
      <x:c r="O13" s="6" t="b">
        <x:v>1</x:v>
      </x:c>
      <x:c r="P13" s="2" t="n">
        <x:f>COUNTIF('模块测量'!$B$2:$B$801,A13)</x:f>
        <x:v>4</x:v>
      </x:c>
      <x:c r="Q13" s="2" t="str">
        <x:f t="shared" si="0">IF(P13=4,"PASS","CHECK")</x:f>
        <x:v>PASS</x:v>
      </x:c>
    </x:row>
    <x:row r="14" ht="15">
      <x:c r="A14" s="2" t="s">
        <x:v>96</x:v>
      </x:c>
      <x:c r="B14" s="2" t="s">
        <x:v>23</x:v>
      </x:c>
      <x:c r="C14" s="2">
        <x:v>3</x:v>
      </x:c>
      <x:c r="D14" s="4">
        <x:v>46190.377083333333</x:v>
      </x:c>
      <x:c r="E14" s="2">
        <x:v>16</x:v>
      </x:c>
      <x:c r="F14" s="2" t="s">
        <x:v>79</x:v>
      </x:c>
      <x:c r="G14" s="2" t="s">
        <x:v>80</x:v>
      </x:c>
      <x:c r="H14" s="2" t="s">
        <x:v>81</x:v>
      </x:c>
      <x:c r="I14" s="2" t="s">
        <x:v>82</x:v>
      </x:c>
      <x:c r="J14" s="2">
        <x:v>15</x:v>
      </x:c>
      <x:c r="K14" s="5">
        <x:v>58.2</x:v>
      </x:c>
      <x:c r="L14" s="2">
        <x:v>470</x:v>
      </x:c>
      <x:c r="M14" s="2" t="s">
        <x:v>83</x:v>
      </x:c>
      <x:c r="N14" s="2" t="s">
        <x:v>84</x:v>
      </x:c>
      <x:c r="O14" s="6" t="b">
        <x:v>1</x:v>
      </x:c>
      <x:c r="P14" s="2" t="n">
        <x:f>COUNTIF('模块测量'!$B$2:$B$801,A14)</x:f>
        <x:v>4</x:v>
      </x:c>
      <x:c r="Q14" s="2" t="str">
        <x:f t="shared" si="0">IF(P14=4,"PASS","CHECK")</x:f>
        <x:v>PASS</x:v>
      </x:c>
    </x:row>
    <x:row r="15" ht="15">
      <x:c r="A15" s="2" t="s">
        <x:v>97</x:v>
      </x:c>
      <x:c r="B15" s="2" t="s">
        <x:v>23</x:v>
      </x:c>
      <x:c r="C15" s="2">
        <x:v>4</x:v>
      </x:c>
      <x:c r="D15" s="4">
        <x:v>46197.377083333333</x:v>
      </x:c>
      <x:c r="E15" s="2">
        <x:v>23</x:v>
      </x:c>
      <x:c r="F15" s="2" t="s">
        <x:v>79</x:v>
      </x:c>
      <x:c r="G15" s="2" t="s">
        <x:v>80</x:v>
      </x:c>
      <x:c r="H15" s="2" t="s">
        <x:v>81</x:v>
      </x:c>
      <x:c r="I15" s="2" t="s">
        <x:v>82</x:v>
      </x:c>
      <x:c r="J15" s="2">
        <x:v>15</x:v>
      </x:c>
      <x:c r="K15" s="5">
        <x:v>62.1</x:v>
      </x:c>
      <x:c r="L15" s="2">
        <x:v>517</x:v>
      </x:c>
      <x:c r="M15" s="2" t="s">
        <x:v>83</x:v>
      </x:c>
      <x:c r="N15" s="2" t="s">
        <x:v>84</x:v>
      </x:c>
      <x:c r="O15" s="6" t="b">
        <x:v>1</x:v>
      </x:c>
      <x:c r="P15" s="2" t="n">
        <x:f>COUNTIF('模块测量'!$B$2:$B$801,A15)</x:f>
        <x:v>4</x:v>
      </x:c>
      <x:c r="Q15" s="2" t="str">
        <x:f t="shared" si="0">IF(P15=4,"PASS","CHECK")</x:f>
        <x:v>PASS</x:v>
      </x:c>
    </x:row>
    <x:row r="16" ht="15">
      <x:c r="A16" s="2" t="s">
        <x:v>98</x:v>
      </x:c>
      <x:c r="B16" s="2" t="s">
        <x:v>23</x:v>
      </x:c>
      <x:c r="C16" s="2">
        <x:v>5</x:v>
      </x:c>
      <x:c r="D16" s="4">
        <x:v>46204.377083333333</x:v>
      </x:c>
      <x:c r="E16" s="2">
        <x:v>30</x:v>
      </x:c>
      <x:c r="F16" s="2" t="s">
        <x:v>79</x:v>
      </x:c>
      <x:c r="G16" s="2" t="s">
        <x:v>80</x:v>
      </x:c>
      <x:c r="H16" s="2" t="s">
        <x:v>81</x:v>
      </x:c>
      <x:c r="I16" s="2" t="s">
        <x:v>82</x:v>
      </x:c>
      <x:c r="J16" s="2">
        <x:v>15</x:v>
      </x:c>
      <x:c r="K16" s="5">
        <x:v>65.599999999999994</x:v>
      </x:c>
      <x:c r="L16" s="2">
        <x:v>345</x:v>
      </x:c>
      <x:c r="M16" s="2" t="s">
        <x:v>83</x:v>
      </x:c>
      <x:c r="N16" s="2" t="s">
        <x:v>84</x:v>
      </x:c>
      <x:c r="O16" s="6" t="b">
        <x:v>1</x:v>
      </x:c>
      <x:c r="P16" s="2" t="n">
        <x:f>COUNTIF('模块测量'!$B$2:$B$801,A16)</x:f>
        <x:v>4</x:v>
      </x:c>
      <x:c r="Q16" s="2" t="str">
        <x:f t="shared" si="0">IF(P16=4,"PASS","CHECK")</x:f>
        <x:v>PASS</x:v>
      </x:c>
    </x:row>
    <x:row r="17" ht="15">
      <x:c r="A17" s="2" t="s">
        <x:v>99</x:v>
      </x:c>
      <x:c r="B17" s="2" t="s">
        <x:v>25</x:v>
      </x:c>
      <x:c r="C17" s="2">
        <x:v>1</x:v>
      </x:c>
      <x:c r="D17" s="4">
        <x:v>46177.37777777778</x:v>
      </x:c>
      <x:c r="E17" s="2">
        <x:v>3</x:v>
      </x:c>
      <x:c r="F17" s="2" t="s">
        <x:v>79</x:v>
      </x:c>
      <x:c r="G17" s="2" t="s">
        <x:v>80</x:v>
      </x:c>
      <x:c r="H17" s="2" t="s">
        <x:v>81</x:v>
      </x:c>
      <x:c r="I17" s="2" t="s">
        <x:v>82</x:v>
      </x:c>
      <x:c r="J17" s="2">
        <x:v>15</x:v>
      </x:c>
      <x:c r="K17" s="5">
        <x:v>68.099999999999994</x:v>
      </x:c>
      <x:c r="L17" s="2">
        <x:v>505</x:v>
      </x:c>
      <x:c r="M17" s="2" t="s">
        <x:v>83</x:v>
      </x:c>
      <x:c r="N17" s="2" t="s">
        <x:v>100</x:v>
      </x:c>
      <x:c r="O17" s="6" t="b">
        <x:v>1</x:v>
      </x:c>
      <x:c r="P17" s="2" t="n">
        <x:f>COUNTIF('模块测量'!$B$2:$B$801,A17)</x:f>
        <x:v>4</x:v>
      </x:c>
      <x:c r="Q17" s="2" t="str">
        <x:f t="shared" si="0">IF(P17=4,"PASS","CHECK")</x:f>
        <x:v>PASS</x:v>
      </x:c>
    </x:row>
    <x:row r="18" ht="15">
      <x:c r="A18" s="2" t="s">
        <x:v>101</x:v>
      </x:c>
      <x:c r="B18" s="2" t="s">
        <x:v>25</x:v>
      </x:c>
      <x:c r="C18" s="2">
        <x:v>2</x:v>
      </x:c>
      <x:c r="D18" s="4">
        <x:v>46184.37777777778</x:v>
      </x:c>
      <x:c r="E18" s="2">
        <x:v>10</x:v>
      </x:c>
      <x:c r="F18" s="2" t="s">
        <x:v>79</x:v>
      </x:c>
      <x:c r="G18" s="2" t="s">
        <x:v>80</x:v>
      </x:c>
      <x:c r="H18" s="2" t="s">
        <x:v>81</x:v>
      </x:c>
      <x:c r="I18" s="2" t="s">
        <x:v>82</x:v>
      </x:c>
      <x:c r="J18" s="2">
        <x:v>15</x:v>
      </x:c>
      <x:c r="K18" s="5">
        <x:v>62.6</x:v>
      </x:c>
      <x:c r="L18" s="2">
        <x:v>374</x:v>
      </x:c>
      <x:c r="M18" s="2" t="s">
        <x:v>83</x:v>
      </x:c>
      <x:c r="N18" s="2" t="s">
        <x:v>100</x:v>
      </x:c>
      <x:c r="O18" s="6" t="b">
        <x:v>1</x:v>
      </x:c>
      <x:c r="P18" s="2" t="n">
        <x:f>COUNTIF('模块测量'!$B$2:$B$801,A18)</x:f>
        <x:v>4</x:v>
      </x:c>
      <x:c r="Q18" s="2" t="str">
        <x:f t="shared" si="0">IF(P18=4,"PASS","CHECK")</x:f>
        <x:v>PASS</x:v>
      </x:c>
    </x:row>
    <x:row r="19" ht="15">
      <x:c r="A19" s="2" t="s">
        <x:v>102</x:v>
      </x:c>
      <x:c r="B19" s="2" t="s">
        <x:v>25</x:v>
      </x:c>
      <x:c r="C19" s="2">
        <x:v>3</x:v>
      </x:c>
      <x:c r="D19" s="4">
        <x:v>46191.37777777778</x:v>
      </x:c>
      <x:c r="E19" s="2">
        <x:v>17</x:v>
      </x:c>
      <x:c r="F19" s="2" t="s">
        <x:v>79</x:v>
      </x:c>
      <x:c r="G19" s="2" t="s">
        <x:v>80</x:v>
      </x:c>
      <x:c r="H19" s="2" t="s">
        <x:v>81</x:v>
      </x:c>
      <x:c r="I19" s="2" t="s">
        <x:v>82</x:v>
      </x:c>
      <x:c r="J19" s="2">
        <x:v>15</x:v>
      </x:c>
      <x:c r="K19" s="5">
        <x:v>57</x:v>
      </x:c>
      <x:c r="L19" s="2">
        <x:v>232</x:v>
      </x:c>
      <x:c r="M19" s="2" t="s">
        <x:v>83</x:v>
      </x:c>
      <x:c r="N19" s="2" t="s">
        <x:v>100</x:v>
      </x:c>
      <x:c r="O19" s="6" t="b">
        <x:v>1</x:v>
      </x:c>
      <x:c r="P19" s="2" t="n">
        <x:f>COUNTIF('模块测量'!$B$2:$B$801,A19)</x:f>
        <x:v>4</x:v>
      </x:c>
      <x:c r="Q19" s="2" t="str">
        <x:f t="shared" si="0">IF(P19=4,"PASS","CHECK")</x:f>
        <x:v>PASS</x:v>
      </x:c>
    </x:row>
    <x:row r="20" ht="15">
      <x:c r="A20" s="2" t="s">
        <x:v>103</x:v>
      </x:c>
      <x:c r="B20" s="2" t="s">
        <x:v>25</x:v>
      </x:c>
      <x:c r="C20" s="2">
        <x:v>4</x:v>
      </x:c>
      <x:c r="D20" s="4">
        <x:v>46198.37777777778</x:v>
      </x:c>
      <x:c r="E20" s="2">
        <x:v>24</x:v>
      </x:c>
      <x:c r="F20" s="2" t="s">
        <x:v>79</x:v>
      </x:c>
      <x:c r="G20" s="2" t="s">
        <x:v>80</x:v>
      </x:c>
      <x:c r="H20" s="2" t="s">
        <x:v>81</x:v>
      </x:c>
      <x:c r="I20" s="2" t="s">
        <x:v>82</x:v>
      </x:c>
      <x:c r="J20" s="2">
        <x:v>15</x:v>
      </x:c>
      <x:c r="K20" s="5">
        <x:v>63.2</x:v>
      </x:c>
      <x:c r="L20" s="2">
        <x:v>352</x:v>
      </x:c>
      <x:c r="M20" s="2" t="s">
        <x:v>83</x:v>
      </x:c>
      <x:c r="N20" s="2" t="s">
        <x:v>100</x:v>
      </x:c>
      <x:c r="O20" s="6" t="b">
        <x:v>1</x:v>
      </x:c>
      <x:c r="P20" s="2" t="n">
        <x:f>COUNTIF('模块测量'!$B$2:$B$801,A20)</x:f>
        <x:v>4</x:v>
      </x:c>
      <x:c r="Q20" s="2" t="str">
        <x:f t="shared" si="0">IF(P20=4,"PASS","CHECK")</x:f>
        <x:v>PASS</x:v>
      </x:c>
    </x:row>
    <x:row r="21" ht="15">
      <x:c r="A21" s="2" t="s">
        <x:v>104</x:v>
      </x:c>
      <x:c r="B21" s="2" t="s">
        <x:v>25</x:v>
      </x:c>
      <x:c r="C21" s="2">
        <x:v>5</x:v>
      </x:c>
      <x:c r="D21" s="4">
        <x:v>46205.37777777778</x:v>
      </x:c>
      <x:c r="E21" s="2">
        <x:v>31</x:v>
      </x:c>
      <x:c r="F21" s="2" t="s">
        <x:v>79</x:v>
      </x:c>
      <x:c r="G21" s="2" t="s">
        <x:v>80</x:v>
      </x:c>
      <x:c r="H21" s="2" t="s">
        <x:v>81</x:v>
      </x:c>
      <x:c r="I21" s="2" t="s">
        <x:v>82</x:v>
      </x:c>
      <x:c r="J21" s="2">
        <x:v>15</x:v>
      </x:c>
      <x:c r="K21" s="5">
        <x:v>60.3</x:v>
      </x:c>
      <x:c r="L21" s="2">
        <x:v>375</x:v>
      </x:c>
      <x:c r="M21" s="2" t="s">
        <x:v>83</x:v>
      </x:c>
      <x:c r="N21" s="2" t="s">
        <x:v>100</x:v>
      </x:c>
      <x:c r="O21" s="6" t="b">
        <x:v>1</x:v>
      </x:c>
      <x:c r="P21" s="2" t="n">
        <x:f>COUNTIF('模块测量'!$B$2:$B$801,A21)</x:f>
        <x:v>4</x:v>
      </x:c>
      <x:c r="Q21" s="2" t="str">
        <x:f t="shared" si="0">IF(P21=4,"PASS","CHECK")</x:f>
        <x:v>PASS</x:v>
      </x:c>
    </x:row>
    <x:row r="22" ht="15">
      <x:c r="A22" s="2" t="s">
        <x:v>105</x:v>
      </x:c>
      <x:c r="B22" s="2" t="s">
        <x:v>27</x:v>
      </x:c>
      <x:c r="C22" s="2">
        <x:v>1</x:v>
      </x:c>
      <x:c r="D22" s="4">
        <x:v>46178.378472222219</x:v>
      </x:c>
      <x:c r="E22" s="2">
        <x:v>4</x:v>
      </x:c>
      <x:c r="F22" s="2" t="s">
        <x:v>79</x:v>
      </x:c>
      <x:c r="G22" s="2" t="s">
        <x:v>80</x:v>
      </x:c>
      <x:c r="H22" s="2" t="s">
        <x:v>81</x:v>
      </x:c>
      <x:c r="I22" s="2" t="s">
        <x:v>82</x:v>
      </x:c>
      <x:c r="J22" s="2">
        <x:v>15</x:v>
      </x:c>
      <x:c r="K22" s="5">
        <x:v>54.6</x:v>
      </x:c>
      <x:c r="L22" s="2">
        <x:v>511</x:v>
      </x:c>
      <x:c r="M22" s="2" t="s">
        <x:v>83</x:v>
      </x:c>
      <x:c r="N22" s="2" t="s">
        <x:v>84</x:v>
      </x:c>
      <x:c r="O22" s="6" t="b">
        <x:v>1</x:v>
      </x:c>
      <x:c r="P22" s="2" t="n">
        <x:f>COUNTIF('模块测量'!$B$2:$B$801,A22)</x:f>
        <x:v>4</x:v>
      </x:c>
      <x:c r="Q22" s="2" t="str">
        <x:f t="shared" si="0">IF(P22=4,"PASS","CHECK")</x:f>
        <x:v>PASS</x:v>
      </x:c>
    </x:row>
    <x:row r="23" ht="15">
      <x:c r="A23" s="2" t="s">
        <x:v>106</x:v>
      </x:c>
      <x:c r="B23" s="2" t="s">
        <x:v>27</x:v>
      </x:c>
      <x:c r="C23" s="2">
        <x:v>2</x:v>
      </x:c>
      <x:c r="D23" s="4">
        <x:v>46185.378472222219</x:v>
      </x:c>
      <x:c r="E23" s="2">
        <x:v>11</x:v>
      </x:c>
      <x:c r="F23" s="2" t="s">
        <x:v>79</x:v>
      </x:c>
      <x:c r="G23" s="2" t="s">
        <x:v>80</x:v>
      </x:c>
      <x:c r="H23" s="2" t="s">
        <x:v>81</x:v>
      </x:c>
      <x:c r="I23" s="2" t="s">
        <x:v>82</x:v>
      </x:c>
      <x:c r="J23" s="2">
        <x:v>15</x:v>
      </x:c>
      <x:c r="K23" s="5">
        <x:v>61.3</x:v>
      </x:c>
      <x:c r="L23" s="2">
        <x:v>419</x:v>
      </x:c>
      <x:c r="M23" s="2" t="s">
        <x:v>83</x:v>
      </x:c>
      <x:c r="N23" s="2" t="s">
        <x:v>84</x:v>
      </x:c>
      <x:c r="O23" s="6" t="b">
        <x:v>1</x:v>
      </x:c>
      <x:c r="P23" s="2" t="n">
        <x:f>COUNTIF('模块测量'!$B$2:$B$801,A23)</x:f>
        <x:v>4</x:v>
      </x:c>
      <x:c r="Q23" s="2" t="str">
        <x:f t="shared" si="0">IF(P23=4,"PASS","CHECK")</x:f>
        <x:v>PASS</x:v>
      </x:c>
    </x:row>
    <x:row r="24" ht="15">
      <x:c r="A24" s="2" t="s">
        <x:v>107</x:v>
      </x:c>
      <x:c r="B24" s="2" t="s">
        <x:v>27</x:v>
      </x:c>
      <x:c r="C24" s="2">
        <x:v>3</x:v>
      </x:c>
      <x:c r="D24" s="4">
        <x:v>46192.378472222219</x:v>
      </x:c>
      <x:c r="E24" s="2">
        <x:v>18</x:v>
      </x:c>
      <x:c r="F24" s="2" t="s">
        <x:v>79</x:v>
      </x:c>
      <x:c r="G24" s="2" t="s">
        <x:v>80</x:v>
      </x:c>
      <x:c r="H24" s="2" t="s">
        <x:v>81</x:v>
      </x:c>
      <x:c r="I24" s="2" t="s">
        <x:v>82</x:v>
      </x:c>
      <x:c r="J24" s="2">
        <x:v>15</x:v>
      </x:c>
      <x:c r="K24" s="5">
        <x:v>62.1</x:v>
      </x:c>
      <x:c r="L24" s="2">
        <x:v>441</x:v>
      </x:c>
      <x:c r="M24" s="2" t="s">
        <x:v>83</x:v>
      </x:c>
      <x:c r="N24" s="2" t="s">
        <x:v>84</x:v>
      </x:c>
      <x:c r="O24" s="6" t="b">
        <x:v>1</x:v>
      </x:c>
      <x:c r="P24" s="2" t="n">
        <x:f>COUNTIF('模块测量'!$B$2:$B$801,A24)</x:f>
        <x:v>4</x:v>
      </x:c>
      <x:c r="Q24" s="2" t="str">
        <x:f t="shared" si="0">IF(P24=4,"PASS","CHECK")</x:f>
        <x:v>PASS</x:v>
      </x:c>
    </x:row>
    <x:row r="25" ht="15">
      <x:c r="A25" s="2" t="s">
        <x:v>108</x:v>
      </x:c>
      <x:c r="B25" s="2" t="s">
        <x:v>27</x:v>
      </x:c>
      <x:c r="C25" s="2">
        <x:v>4</x:v>
      </x:c>
      <x:c r="D25" s="4">
        <x:v>46199.378472222219</x:v>
      </x:c>
      <x:c r="E25" s="2">
        <x:v>25</x:v>
      </x:c>
      <x:c r="F25" s="2" t="s">
        <x:v>79</x:v>
      </x:c>
      <x:c r="G25" s="2" t="s">
        <x:v>80</x:v>
      </x:c>
      <x:c r="H25" s="2" t="s">
        <x:v>81</x:v>
      </x:c>
      <x:c r="I25" s="2" t="s">
        <x:v>82</x:v>
      </x:c>
      <x:c r="J25" s="2">
        <x:v>15</x:v>
      </x:c>
      <x:c r="K25" s="5">
        <x:v>58.3</x:v>
      </x:c>
      <x:c r="L25" s="2">
        <x:v>372</x:v>
      </x:c>
      <x:c r="M25" s="2" t="s">
        <x:v>83</x:v>
      </x:c>
      <x:c r="N25" s="2" t="s">
        <x:v>84</x:v>
      </x:c>
      <x:c r="O25" s="6" t="b">
        <x:v>1</x:v>
      </x:c>
      <x:c r="P25" s="2" t="n">
        <x:f>COUNTIF('模块测量'!$B$2:$B$801,A25)</x:f>
        <x:v>4</x:v>
      </x:c>
      <x:c r="Q25" s="2" t="str">
        <x:f t="shared" si="0">IF(P25=4,"PASS","CHECK")</x:f>
        <x:v>PASS</x:v>
      </x:c>
    </x:row>
    <x:row r="26" ht="15">
      <x:c r="A26" s="2" t="s">
        <x:v>109</x:v>
      </x:c>
      <x:c r="B26" s="2" t="s">
        <x:v>27</x:v>
      </x:c>
      <x:c r="C26" s="2">
        <x:v>5</x:v>
      </x:c>
      <x:c r="D26" s="4">
        <x:v>46206.378472222219</x:v>
      </x:c>
      <x:c r="E26" s="2">
        <x:v>32</x:v>
      </x:c>
      <x:c r="F26" s="2" t="s">
        <x:v>79</x:v>
      </x:c>
      <x:c r="G26" s="2" t="s">
        <x:v>80</x:v>
      </x:c>
      <x:c r="H26" s="2" t="s">
        <x:v>81</x:v>
      </x:c>
      <x:c r="I26" s="2" t="s">
        <x:v>82</x:v>
      </x:c>
      <x:c r="J26" s="2">
        <x:v>15</x:v>
      </x:c>
      <x:c r="K26" s="5">
        <x:v>55.1</x:v>
      </x:c>
      <x:c r="L26" s="2">
        <x:v>435</x:v>
      </x:c>
      <x:c r="M26" s="2" t="s">
        <x:v>83</x:v>
      </x:c>
      <x:c r="N26" s="2" t="s">
        <x:v>84</x:v>
      </x:c>
      <x:c r="O26" s="6" t="b">
        <x:v>1</x:v>
      </x:c>
      <x:c r="P26" s="2" t="n">
        <x:f>COUNTIF('模块测量'!$B$2:$B$801,A26)</x:f>
        <x:v>4</x:v>
      </x:c>
      <x:c r="Q26" s="2" t="str">
        <x:f t="shared" si="0">IF(P26=4,"PASS","CHECK")</x:f>
        <x:v>PASS</x:v>
      </x:c>
    </x:row>
    <x:row r="27" ht="15">
      <x:c r="A27" s="2" t="s">
        <x:v>110</x:v>
      </x:c>
      <x:c r="B27" s="2" t="s">
        <x:v>28</x:v>
      </x:c>
      <x:c r="C27" s="2">
        <x:v>1</x:v>
      </x:c>
      <x:c r="D27" s="4">
        <x:v>46179.379166666666</x:v>
      </x:c>
      <x:c r="E27" s="2">
        <x:v>5</x:v>
      </x:c>
      <x:c r="F27" s="2" t="s">
        <x:v>79</x:v>
      </x:c>
      <x:c r="G27" s="2" t="s">
        <x:v>80</x:v>
      </x:c>
      <x:c r="H27" s="2" t="s">
        <x:v>81</x:v>
      </x:c>
      <x:c r="I27" s="2" t="s">
        <x:v>82</x:v>
      </x:c>
      <x:c r="J27" s="2">
        <x:v>15</x:v>
      </x:c>
      <x:c r="K27" s="5">
        <x:v>58.4</x:v>
      </x:c>
      <x:c r="L27" s="2">
        <x:v>376</x:v>
      </x:c>
      <x:c r="M27" s="2" t="s">
        <x:v>83</x:v>
      </x:c>
      <x:c r="N27" s="2" t="s">
        <x:v>84</x:v>
      </x:c>
      <x:c r="O27" s="6" t="b">
        <x:v>1</x:v>
      </x:c>
      <x:c r="P27" s="2" t="n">
        <x:f>COUNTIF('模块测量'!$B$2:$B$801,A27)</x:f>
        <x:v>4</x:v>
      </x:c>
      <x:c r="Q27" s="2" t="str">
        <x:f t="shared" si="0">IF(P27=4,"PASS","CHECK")</x:f>
        <x:v>PASS</x:v>
      </x:c>
    </x:row>
    <x:row r="28" ht="15">
      <x:c r="A28" s="2" t="s">
        <x:v>111</x:v>
      </x:c>
      <x:c r="B28" s="2" t="s">
        <x:v>28</x:v>
      </x:c>
      <x:c r="C28" s="2">
        <x:v>2</x:v>
      </x:c>
      <x:c r="D28" s="4">
        <x:v>46186.379166666666</x:v>
      </x:c>
      <x:c r="E28" s="2">
        <x:v>12</x:v>
      </x:c>
      <x:c r="F28" s="2" t="s">
        <x:v>79</x:v>
      </x:c>
      <x:c r="G28" s="2" t="s">
        <x:v>80</x:v>
      </x:c>
      <x:c r="H28" s="2" t="s">
        <x:v>81</x:v>
      </x:c>
      <x:c r="I28" s="2" t="s">
        <x:v>82</x:v>
      </x:c>
      <x:c r="J28" s="2">
        <x:v>15</x:v>
      </x:c>
      <x:c r="K28" s="5">
        <x:v>55.4</x:v>
      </x:c>
      <x:c r="L28" s="2">
        <x:v>357</x:v>
      </x:c>
      <x:c r="M28" s="2" t="s">
        <x:v>83</x:v>
      </x:c>
      <x:c r="N28" s="2" t="s">
        <x:v>84</x:v>
      </x:c>
      <x:c r="O28" s="6" t="b">
        <x:v>1</x:v>
      </x:c>
      <x:c r="P28" s="2" t="n">
        <x:f>COUNTIF('模块测量'!$B$2:$B$801,A28)</x:f>
        <x:v>4</x:v>
      </x:c>
      <x:c r="Q28" s="2" t="str">
        <x:f t="shared" si="0">IF(P28=4,"PASS","CHECK")</x:f>
        <x:v>PASS</x:v>
      </x:c>
    </x:row>
    <x:row r="29" ht="15">
      <x:c r="A29" s="2" t="s">
        <x:v>112</x:v>
      </x:c>
      <x:c r="B29" s="2" t="s">
        <x:v>28</x:v>
      </x:c>
      <x:c r="C29" s="2">
        <x:v>3</x:v>
      </x:c>
      <x:c r="D29" s="4">
        <x:v>46193.379166666666</x:v>
      </x:c>
      <x:c r="E29" s="2">
        <x:v>19</x:v>
      </x:c>
      <x:c r="F29" s="2" t="s">
        <x:v>79</x:v>
      </x:c>
      <x:c r="G29" s="2" t="s">
        <x:v>80</x:v>
      </x:c>
      <x:c r="H29" s="2" t="s">
        <x:v>81</x:v>
      </x:c>
      <x:c r="I29" s="2" t="s">
        <x:v>82</x:v>
      </x:c>
      <x:c r="J29" s="2">
        <x:v>15</x:v>
      </x:c>
      <x:c r="K29" s="5">
        <x:v>57.1</x:v>
      </x:c>
      <x:c r="L29" s="2">
        <x:v>398</x:v>
      </x:c>
      <x:c r="M29" s="2" t="s">
        <x:v>83</x:v>
      </x:c>
      <x:c r="N29" s="2" t="s">
        <x:v>84</x:v>
      </x:c>
      <x:c r="O29" s="6" t="b">
        <x:v>1</x:v>
      </x:c>
      <x:c r="P29" s="2" t="n">
        <x:f>COUNTIF('模块测量'!$B$2:$B$801,A29)</x:f>
        <x:v>4</x:v>
      </x:c>
      <x:c r="Q29" s="2" t="str">
        <x:f t="shared" si="0">IF(P29=4,"PASS","CHECK")</x:f>
        <x:v>PASS</x:v>
      </x:c>
    </x:row>
    <x:row r="30" ht="15">
      <x:c r="A30" s="2" t="s">
        <x:v>113</x:v>
      </x:c>
      <x:c r="B30" s="2" t="s">
        <x:v>28</x:v>
      </x:c>
      <x:c r="C30" s="2">
        <x:v>4</x:v>
      </x:c>
      <x:c r="D30" s="4">
        <x:v>46200.379166666666</x:v>
      </x:c>
      <x:c r="E30" s="2">
        <x:v>26</x:v>
      </x:c>
      <x:c r="F30" s="2" t="s">
        <x:v>79</x:v>
      </x:c>
      <x:c r="G30" s="2" t="s">
        <x:v>80</x:v>
      </x:c>
      <x:c r="H30" s="2" t="s">
        <x:v>81</x:v>
      </x:c>
      <x:c r="I30" s="2" t="s">
        <x:v>82</x:v>
      </x:c>
      <x:c r="J30" s="2">
        <x:v>15</x:v>
      </x:c>
      <x:c r="K30" s="5">
        <x:v>55.5</x:v>
      </x:c>
      <x:c r="L30" s="2">
        <x:v>291</x:v>
      </x:c>
      <x:c r="M30" s="2" t="s">
        <x:v>83</x:v>
      </x:c>
      <x:c r="N30" s="2" t="s">
        <x:v>84</x:v>
      </x:c>
      <x:c r="O30" s="6" t="b">
        <x:v>1</x:v>
      </x:c>
      <x:c r="P30" s="2" t="n">
        <x:f>COUNTIF('模块测量'!$B$2:$B$801,A30)</x:f>
        <x:v>4</x:v>
      </x:c>
      <x:c r="Q30" s="2" t="str">
        <x:f t="shared" si="0">IF(P30=4,"PASS","CHECK")</x:f>
        <x:v>PASS</x:v>
      </x:c>
    </x:row>
    <x:row r="31" ht="15">
      <x:c r="A31" s="2" t="s">
        <x:v>114</x:v>
      </x:c>
      <x:c r="B31" s="2" t="s">
        <x:v>28</x:v>
      </x:c>
      <x:c r="C31" s="2">
        <x:v>5</x:v>
      </x:c>
      <x:c r="D31" s="4">
        <x:v>46207.379166666666</x:v>
      </x:c>
      <x:c r="E31" s="2">
        <x:v>33</x:v>
      </x:c>
      <x:c r="F31" s="2" t="s">
        <x:v>79</x:v>
      </x:c>
      <x:c r="G31" s="2" t="s">
        <x:v>80</x:v>
      </x:c>
      <x:c r="H31" s="2" t="s">
        <x:v>81</x:v>
      </x:c>
      <x:c r="I31" s="2" t="s">
        <x:v>82</x:v>
      </x:c>
      <x:c r="J31" s="2">
        <x:v>15</x:v>
      </x:c>
      <x:c r="K31" s="5">
        <x:v>57.8</x:v>
      </x:c>
      <x:c r="L31" s="2">
        <x:v>287</x:v>
      </x:c>
      <x:c r="M31" s="2" t="s">
        <x:v>83</x:v>
      </x:c>
      <x:c r="N31" s="2" t="s">
        <x:v>84</x:v>
      </x:c>
      <x:c r="O31" s="6" t="b">
        <x:v>1</x:v>
      </x:c>
      <x:c r="P31" s="2" t="n">
        <x:f>COUNTIF('模块测量'!$B$2:$B$801,A31)</x:f>
        <x:v>4</x:v>
      </x:c>
      <x:c r="Q31" s="2" t="str">
        <x:f t="shared" si="0">IF(P31=4,"PASS","CHECK")</x:f>
        <x:v>PASS</x:v>
      </x:c>
    </x:row>
    <x:row r="32" ht="15">
      <x:c r="A32" s="2" t="s">
        <x:v>115</x:v>
      </x:c>
      <x:c r="B32" s="2" t="s">
        <x:v>29</x:v>
      </x:c>
      <x:c r="C32" s="2">
        <x:v>1</x:v>
      </x:c>
      <x:c r="D32" s="4">
        <x:v>46180.379861111112</x:v>
      </x:c>
      <x:c r="E32" s="2">
        <x:v>6</x:v>
      </x:c>
      <x:c r="F32" s="2" t="s">
        <x:v>79</x:v>
      </x:c>
      <x:c r="G32" s="2" t="s">
        <x:v>80</x:v>
      </x:c>
      <x:c r="H32" s="2" t="s">
        <x:v>81</x:v>
      </x:c>
      <x:c r="I32" s="2" t="s">
        <x:v>82</x:v>
      </x:c>
      <x:c r="J32" s="2">
        <x:v>15</x:v>
      </x:c>
      <x:c r="K32" s="5">
        <x:v>60.4</x:v>
      </x:c>
      <x:c r="L32" s="2">
        <x:v>304</x:v>
      </x:c>
      <x:c r="M32" s="2" t="s">
        <x:v>83</x:v>
      </x:c>
      <x:c r="N32" s="2" t="s">
        <x:v>84</x:v>
      </x:c>
      <x:c r="O32" s="6" t="b">
        <x:v>1</x:v>
      </x:c>
      <x:c r="P32" s="2" t="n">
        <x:f>COUNTIF('模块测量'!$B$2:$B$801,A32)</x:f>
        <x:v>4</x:v>
      </x:c>
      <x:c r="Q32" s="2" t="str">
        <x:f t="shared" si="0">IF(P32=4,"PASS","CHECK")</x:f>
        <x:v>PASS</x:v>
      </x:c>
    </x:row>
    <x:row r="33" ht="15">
      <x:c r="A33" s="2" t="s">
        <x:v>116</x:v>
      </x:c>
      <x:c r="B33" s="2" t="s">
        <x:v>29</x:v>
      </x:c>
      <x:c r="C33" s="2">
        <x:v>2</x:v>
      </x:c>
      <x:c r="D33" s="4">
        <x:v>46187.379861111112</x:v>
      </x:c>
      <x:c r="E33" s="2">
        <x:v>13</x:v>
      </x:c>
      <x:c r="F33" s="2" t="s">
        <x:v>79</x:v>
      </x:c>
      <x:c r="G33" s="2" t="s">
        <x:v>80</x:v>
      </x:c>
      <x:c r="H33" s="2" t="s">
        <x:v>81</x:v>
      </x:c>
      <x:c r="I33" s="2" t="s">
        <x:v>82</x:v>
      </x:c>
      <x:c r="J33" s="2">
        <x:v>15</x:v>
      </x:c>
      <x:c r="K33" s="5">
        <x:v>60.7</x:v>
      </x:c>
      <x:c r="L33" s="2">
        <x:v>564</x:v>
      </x:c>
      <x:c r="M33" s="2" t="s">
        <x:v>83</x:v>
      </x:c>
      <x:c r="N33" s="2" t="s">
        <x:v>84</x:v>
      </x:c>
      <x:c r="O33" s="6" t="b">
        <x:v>1</x:v>
      </x:c>
      <x:c r="P33" s="2" t="n">
        <x:f>COUNTIF('模块测量'!$B$2:$B$801,A33)</x:f>
        <x:v>4</x:v>
      </x:c>
      <x:c r="Q33" s="2" t="str">
        <x:f t="shared" si="0">IF(P33=4,"PASS","CHECK")</x:f>
        <x:v>PASS</x:v>
      </x:c>
    </x:row>
    <x:row r="34" ht="15">
      <x:c r="A34" s="2" t="s">
        <x:v>117</x:v>
      </x:c>
      <x:c r="B34" s="2" t="s">
        <x:v>29</x:v>
      </x:c>
      <x:c r="C34" s="2">
        <x:v>3</x:v>
      </x:c>
      <x:c r="D34" s="4">
        <x:v>46194.379861111112</x:v>
      </x:c>
      <x:c r="E34" s="2">
        <x:v>20</x:v>
      </x:c>
      <x:c r="F34" s="2" t="s">
        <x:v>79</x:v>
      </x:c>
      <x:c r="G34" s="2" t="s">
        <x:v>80</x:v>
      </x:c>
      <x:c r="H34" s="2" t="s">
        <x:v>81</x:v>
      </x:c>
      <x:c r="I34" s="2" t="s">
        <x:v>82</x:v>
      </x:c>
      <x:c r="J34" s="2">
        <x:v>15</x:v>
      </x:c>
      <x:c r="K34" s="5">
        <x:v>58.3</x:v>
      </x:c>
      <x:c r="L34" s="2">
        <x:v>384</x:v>
      </x:c>
      <x:c r="M34" s="2" t="s">
        <x:v>83</x:v>
      </x:c>
      <x:c r="N34" s="2" t="s">
        <x:v>84</x:v>
      </x:c>
      <x:c r="O34" s="6" t="b">
        <x:v>1</x:v>
      </x:c>
      <x:c r="P34" s="2" t="n">
        <x:f>COUNTIF('模块测量'!$B$2:$B$801,A34)</x:f>
        <x:v>4</x:v>
      </x:c>
      <x:c r="Q34" s="2" t="str">
        <x:f t="shared" ref="Q34:Q65" si="1">IF(P34=4,"PASS","CHECK")</x:f>
        <x:v>PASS</x:v>
      </x:c>
    </x:row>
    <x:row r="35" ht="15">
      <x:c r="A35" s="2" t="s">
        <x:v>118</x:v>
      </x:c>
      <x:c r="B35" s="2" t="s">
        <x:v>29</x:v>
      </x:c>
      <x:c r="C35" s="2">
        <x:v>4</x:v>
      </x:c>
      <x:c r="D35" s="4">
        <x:v>46201.379861111112</x:v>
      </x:c>
      <x:c r="E35" s="2">
        <x:v>27</x:v>
      </x:c>
      <x:c r="F35" s="2" t="s">
        <x:v>79</x:v>
      </x:c>
      <x:c r="G35" s="2" t="s">
        <x:v>80</x:v>
      </x:c>
      <x:c r="H35" s="2" t="s">
        <x:v>81</x:v>
      </x:c>
      <x:c r="I35" s="2" t="s">
        <x:v>82</x:v>
      </x:c>
      <x:c r="J35" s="2">
        <x:v>15</x:v>
      </x:c>
      <x:c r="K35" s="5">
        <x:v>63.5</x:v>
      </x:c>
      <x:c r="L35" s="2">
        <x:v>306</x:v>
      </x:c>
      <x:c r="M35" s="2" t="s">
        <x:v>83</x:v>
      </x:c>
      <x:c r="N35" s="2" t="s">
        <x:v>84</x:v>
      </x:c>
      <x:c r="O35" s="6" t="b">
        <x:v>1</x:v>
      </x:c>
      <x:c r="P35" s="2" t="n">
        <x:f>COUNTIF('模块测量'!$B$2:$B$801,A35)</x:f>
        <x:v>4</x:v>
      </x:c>
      <x:c r="Q35" s="2" t="str">
        <x:f t="shared" si="1">IF(P35=4,"PASS","CHECK")</x:f>
        <x:v>PASS</x:v>
      </x:c>
    </x:row>
    <x:row r="36" ht="15">
      <x:c r="A36" s="2" t="s">
        <x:v>119</x:v>
      </x:c>
      <x:c r="B36" s="2" t="s">
        <x:v>29</x:v>
      </x:c>
      <x:c r="C36" s="2">
        <x:v>5</x:v>
      </x:c>
      <x:c r="D36" s="4">
        <x:v>46208.379861111112</x:v>
      </x:c>
      <x:c r="E36" s="2">
        <x:v>34</x:v>
      </x:c>
      <x:c r="F36" s="2" t="s">
        <x:v>79</x:v>
      </x:c>
      <x:c r="G36" s="2" t="s">
        <x:v>80</x:v>
      </x:c>
      <x:c r="H36" s="2" t="s">
        <x:v>81</x:v>
      </x:c>
      <x:c r="I36" s="2" t="s">
        <x:v>82</x:v>
      </x:c>
      <x:c r="J36" s="2">
        <x:v>15</x:v>
      </x:c>
      <x:c r="K36" s="5">
        <x:v>62.1</x:v>
      </x:c>
      <x:c r="L36" s="2">
        <x:v>441</x:v>
      </x:c>
      <x:c r="M36" s="2" t="s">
        <x:v>83</x:v>
      </x:c>
      <x:c r="N36" s="2" t="s">
        <x:v>84</x:v>
      </x:c>
      <x:c r="O36" s="6" t="b">
        <x:v>1</x:v>
      </x:c>
      <x:c r="P36" s="2" t="n">
        <x:f>COUNTIF('模块测量'!$B$2:$B$801,A36)</x:f>
        <x:v>4</x:v>
      </x:c>
      <x:c r="Q36" s="2" t="str">
        <x:f t="shared" si="1">IF(P36=4,"PASS","CHECK")</x:f>
        <x:v>PASS</x:v>
      </x:c>
    </x:row>
    <x:row r="37" ht="15">
      <x:c r="A37" s="2" t="s">
        <x:v>120</x:v>
      </x:c>
      <x:c r="B37" s="2" t="s">
        <x:v>30</x:v>
      </x:c>
      <x:c r="C37" s="2">
        <x:v>1</x:v>
      </x:c>
      <x:c r="D37" s="4">
        <x:v>46174.380555555559</x:v>
      </x:c>
      <x:c r="E37" s="2">
        <x:v>0</x:v>
      </x:c>
      <x:c r="F37" s="2" t="s">
        <x:v>79</x:v>
      </x:c>
      <x:c r="G37" s="2" t="s">
        <x:v>80</x:v>
      </x:c>
      <x:c r="H37" s="2" t="s">
        <x:v>81</x:v>
      </x:c>
      <x:c r="I37" s="2" t="s">
        <x:v>82</x:v>
      </x:c>
      <x:c r="J37" s="2">
        <x:v>15</x:v>
      </x:c>
      <x:c r="K37" s="5">
        <x:v>60.9</x:v>
      </x:c>
      <x:c r="L37" s="2">
        <x:v>491</x:v>
      </x:c>
      <x:c r="M37" s="2" t="s">
        <x:v>83</x:v>
      </x:c>
      <x:c r="N37" s="2" t="s">
        <x:v>100</x:v>
      </x:c>
      <x:c r="O37" s="6" t="b">
        <x:v>1</x:v>
      </x:c>
      <x:c r="P37" s="2" t="n">
        <x:f>COUNTIF('模块测量'!$B$2:$B$801,A37)</x:f>
        <x:v>4</x:v>
      </x:c>
      <x:c r="Q37" s="2" t="str">
        <x:f t="shared" si="1">IF(P37=4,"PASS","CHECK")</x:f>
        <x:v>PASS</x:v>
      </x:c>
    </x:row>
    <x:row r="38" ht="15">
      <x:c r="A38" s="2" t="s">
        <x:v>121</x:v>
      </x:c>
      <x:c r="B38" s="2" t="s">
        <x:v>30</x:v>
      </x:c>
      <x:c r="C38" s="2">
        <x:v>2</x:v>
      </x:c>
      <x:c r="D38" s="4">
        <x:v>46181.380555555559</x:v>
      </x:c>
      <x:c r="E38" s="2">
        <x:v>7</x:v>
      </x:c>
      <x:c r="F38" s="2" t="s">
        <x:v>79</x:v>
      </x:c>
      <x:c r="G38" s="2" t="s">
        <x:v>80</x:v>
      </x:c>
      <x:c r="H38" s="2" t="s">
        <x:v>81</x:v>
      </x:c>
      <x:c r="I38" s="2" t="s">
        <x:v>82</x:v>
      </x:c>
      <x:c r="J38" s="2">
        <x:v>15</x:v>
      </x:c>
      <x:c r="K38" s="5">
        <x:v>65.2</x:v>
      </x:c>
      <x:c r="L38" s="2">
        <x:v>405</x:v>
      </x:c>
      <x:c r="M38" s="2" t="s">
        <x:v>83</x:v>
      </x:c>
      <x:c r="N38" s="2" t="s">
        <x:v>100</x:v>
      </x:c>
      <x:c r="O38" s="6" t="b">
        <x:v>1</x:v>
      </x:c>
      <x:c r="P38" s="2" t="n">
        <x:f>COUNTIF('模块测量'!$B$2:$B$801,A38)</x:f>
        <x:v>4</x:v>
      </x:c>
      <x:c r="Q38" s="2" t="str">
        <x:f t="shared" si="1">IF(P38=4,"PASS","CHECK")</x:f>
        <x:v>PASS</x:v>
      </x:c>
    </x:row>
    <x:row r="39" ht="15">
      <x:c r="A39" s="2" t="s">
        <x:v>122</x:v>
      </x:c>
      <x:c r="B39" s="2" t="s">
        <x:v>30</x:v>
      </x:c>
      <x:c r="C39" s="2">
        <x:v>3</x:v>
      </x:c>
      <x:c r="D39" s="4">
        <x:v>46188.380555555559</x:v>
      </x:c>
      <x:c r="E39" s="2">
        <x:v>14</x:v>
      </x:c>
      <x:c r="F39" s="2" t="s">
        <x:v>79</x:v>
      </x:c>
      <x:c r="G39" s="2" t="s">
        <x:v>80</x:v>
      </x:c>
      <x:c r="H39" s="2" t="s">
        <x:v>81</x:v>
      </x:c>
      <x:c r="I39" s="2" t="s">
        <x:v>82</x:v>
      </x:c>
      <x:c r="J39" s="2">
        <x:v>15</x:v>
      </x:c>
      <x:c r="K39" s="5">
        <x:v>64.400000000000006</x:v>
      </x:c>
      <x:c r="L39" s="2">
        <x:v>424</x:v>
      </x:c>
      <x:c r="M39" s="2" t="s">
        <x:v>83</x:v>
      </x:c>
      <x:c r="N39" s="2" t="s">
        <x:v>100</x:v>
      </x:c>
      <x:c r="O39" s="6" t="b">
        <x:v>1</x:v>
      </x:c>
      <x:c r="P39" s="2" t="n">
        <x:f>COUNTIF('模块测量'!$B$2:$B$801,A39)</x:f>
        <x:v>4</x:v>
      </x:c>
      <x:c r="Q39" s="2" t="str">
        <x:f t="shared" si="1">IF(P39=4,"PASS","CHECK")</x:f>
        <x:v>PASS</x:v>
      </x:c>
    </x:row>
    <x:row r="40" ht="15">
      <x:c r="A40" s="2" t="s">
        <x:v>123</x:v>
      </x:c>
      <x:c r="B40" s="2" t="s">
        <x:v>30</x:v>
      </x:c>
      <x:c r="C40" s="2">
        <x:v>4</x:v>
      </x:c>
      <x:c r="D40" s="4">
        <x:v>46195.380555555559</x:v>
      </x:c>
      <x:c r="E40" s="2">
        <x:v>21</x:v>
      </x:c>
      <x:c r="F40" s="2" t="s">
        <x:v>79</x:v>
      </x:c>
      <x:c r="G40" s="2" t="s">
        <x:v>80</x:v>
      </x:c>
      <x:c r="H40" s="2" t="s">
        <x:v>81</x:v>
      </x:c>
      <x:c r="I40" s="2" t="s">
        <x:v>82</x:v>
      </x:c>
      <x:c r="J40" s="2">
        <x:v>15</x:v>
      </x:c>
      <x:c r="K40" s="5">
        <x:v>58.1</x:v>
      </x:c>
      <x:c r="L40" s="2">
        <x:v>358</x:v>
      </x:c>
      <x:c r="M40" s="2" t="s">
        <x:v>83</x:v>
      </x:c>
      <x:c r="N40" s="2" t="s">
        <x:v>100</x:v>
      </x:c>
      <x:c r="O40" s="6" t="b">
        <x:v>1</x:v>
      </x:c>
      <x:c r="P40" s="2" t="n">
        <x:f>COUNTIF('模块测量'!$B$2:$B$801,A40)</x:f>
        <x:v>4</x:v>
      </x:c>
      <x:c r="Q40" s="2" t="str">
        <x:f t="shared" si="1">IF(P40=4,"PASS","CHECK")</x:f>
        <x:v>PASS</x:v>
      </x:c>
    </x:row>
    <x:row r="41" ht="15">
      <x:c r="A41" s="2" t="s">
        <x:v>124</x:v>
      </x:c>
      <x:c r="B41" s="2" t="s">
        <x:v>30</x:v>
      </x:c>
      <x:c r="C41" s="2">
        <x:v>5</x:v>
      </x:c>
      <x:c r="D41" s="4">
        <x:v>46202.380555555559</x:v>
      </x:c>
      <x:c r="E41" s="2">
        <x:v>28</x:v>
      </x:c>
      <x:c r="F41" s="2" t="s">
        <x:v>79</x:v>
      </x:c>
      <x:c r="G41" s="2" t="s">
        <x:v>80</x:v>
      </x:c>
      <x:c r="H41" s="2" t="s">
        <x:v>81</x:v>
      </x:c>
      <x:c r="I41" s="2" t="s">
        <x:v>82</x:v>
      </x:c>
      <x:c r="J41" s="2">
        <x:v>15</x:v>
      </x:c>
      <x:c r="K41" s="5">
        <x:v>56.8</x:v>
      </x:c>
      <x:c r="L41" s="2">
        <x:v>494</x:v>
      </x:c>
      <x:c r="M41" s="2" t="s">
        <x:v>83</x:v>
      </x:c>
      <x:c r="N41" s="2" t="s">
        <x:v>100</x:v>
      </x:c>
      <x:c r="O41" s="6" t="b">
        <x:v>1</x:v>
      </x:c>
      <x:c r="P41" s="2" t="n">
        <x:f>COUNTIF('模块测量'!$B$2:$B$801,A41)</x:f>
        <x:v>4</x:v>
      </x:c>
      <x:c r="Q41" s="2" t="str">
        <x:f t="shared" si="1">IF(P41=4,"PASS","CHECK")</x:f>
        <x:v>PASS</x:v>
      </x:c>
    </x:row>
    <x:row r="42" ht="15">
      <x:c r="A42" s="2" t="s">
        <x:v>125</x:v>
      </x:c>
      <x:c r="B42" s="2" t="s">
        <x:v>31</x:v>
      </x:c>
      <x:c r="C42" s="2">
        <x:v>1</x:v>
      </x:c>
      <x:c r="D42" s="4">
        <x:v>46175.381249999999</x:v>
      </x:c>
      <x:c r="E42" s="2">
        <x:v>1</x:v>
      </x:c>
      <x:c r="F42" s="2" t="s">
        <x:v>79</x:v>
      </x:c>
      <x:c r="G42" s="2" t="s">
        <x:v>80</x:v>
      </x:c>
      <x:c r="H42" s="2" t="s">
        <x:v>81</x:v>
      </x:c>
      <x:c r="I42" s="2" t="s">
        <x:v>82</x:v>
      </x:c>
      <x:c r="J42" s="2">
        <x:v>15</x:v>
      </x:c>
      <x:c r="K42" s="5">
        <x:v>59.1</x:v>
      </x:c>
      <x:c r="L42" s="2">
        <x:v>395</x:v>
      </x:c>
      <x:c r="M42" s="2" t="s">
        <x:v>83</x:v>
      </x:c>
      <x:c r="N42" s="2" t="s">
        <x:v>84</x:v>
      </x:c>
      <x:c r="O42" s="6" t="b">
        <x:v>1</x:v>
      </x:c>
      <x:c r="P42" s="2" t="n">
        <x:f>COUNTIF('模块测量'!$B$2:$B$801,A42)</x:f>
        <x:v>4</x:v>
      </x:c>
      <x:c r="Q42" s="2" t="str">
        <x:f t="shared" si="1">IF(P42=4,"PASS","CHECK")</x:f>
        <x:v>PASS</x:v>
      </x:c>
    </x:row>
    <x:row r="43" ht="15">
      <x:c r="A43" s="2" t="s">
        <x:v>126</x:v>
      </x:c>
      <x:c r="B43" s="2" t="s">
        <x:v>31</x:v>
      </x:c>
      <x:c r="C43" s="2">
        <x:v>2</x:v>
      </x:c>
      <x:c r="D43" s="4">
        <x:v>46182.381249999999</x:v>
      </x:c>
      <x:c r="E43" s="2">
        <x:v>8</x:v>
      </x:c>
      <x:c r="F43" s="2" t="s">
        <x:v>79</x:v>
      </x:c>
      <x:c r="G43" s="2" t="s">
        <x:v>80</x:v>
      </x:c>
      <x:c r="H43" s="2" t="s">
        <x:v>81</x:v>
      </x:c>
      <x:c r="I43" s="2" t="s">
        <x:v>82</x:v>
      </x:c>
      <x:c r="J43" s="2">
        <x:v>15</x:v>
      </x:c>
      <x:c r="K43" s="5">
        <x:v>57.2</x:v>
      </x:c>
      <x:c r="L43" s="2">
        <x:v>461</x:v>
      </x:c>
      <x:c r="M43" s="2" t="s">
        <x:v>83</x:v>
      </x:c>
      <x:c r="N43" s="2" t="s">
        <x:v>84</x:v>
      </x:c>
      <x:c r="O43" s="6" t="b">
        <x:v>1</x:v>
      </x:c>
      <x:c r="P43" s="2" t="n">
        <x:f>COUNTIF('模块测量'!$B$2:$B$801,A43)</x:f>
        <x:v>4</x:v>
      </x:c>
      <x:c r="Q43" s="2" t="str">
        <x:f t="shared" si="1">IF(P43=4,"PASS","CHECK")</x:f>
        <x:v>PASS</x:v>
      </x:c>
    </x:row>
    <x:row r="44" ht="15">
      <x:c r="A44" s="2" t="s">
        <x:v>127</x:v>
      </x:c>
      <x:c r="B44" s="2" t="s">
        <x:v>31</x:v>
      </x:c>
      <x:c r="C44" s="2">
        <x:v>3</x:v>
      </x:c>
      <x:c r="D44" s="4">
        <x:v>46189.381249999999</x:v>
      </x:c>
      <x:c r="E44" s="2">
        <x:v>15</x:v>
      </x:c>
      <x:c r="F44" s="2" t="s">
        <x:v>79</x:v>
      </x:c>
      <x:c r="G44" s="2" t="s">
        <x:v>80</x:v>
      </x:c>
      <x:c r="H44" s="2" t="s">
        <x:v>81</x:v>
      </x:c>
      <x:c r="I44" s="2" t="s">
        <x:v>82</x:v>
      </x:c>
      <x:c r="J44" s="2">
        <x:v>15</x:v>
      </x:c>
      <x:c r="K44" s="5">
        <x:v>56.6</x:v>
      </x:c>
      <x:c r="L44" s="2">
        <x:v>349</x:v>
      </x:c>
      <x:c r="M44" s="2" t="s">
        <x:v>83</x:v>
      </x:c>
      <x:c r="N44" s="2" t="s">
        <x:v>84</x:v>
      </x:c>
      <x:c r="O44" s="6" t="b">
        <x:v>1</x:v>
      </x:c>
      <x:c r="P44" s="2" t="n">
        <x:f>COUNTIF('模块测量'!$B$2:$B$801,A44)</x:f>
        <x:v>4</x:v>
      </x:c>
      <x:c r="Q44" s="2" t="str">
        <x:f t="shared" si="1">IF(P44=4,"PASS","CHECK")</x:f>
        <x:v>PASS</x:v>
      </x:c>
    </x:row>
    <x:row r="45" ht="15">
      <x:c r="A45" s="2" t="s">
        <x:v>128</x:v>
      </x:c>
      <x:c r="B45" s="2" t="s">
        <x:v>31</x:v>
      </x:c>
      <x:c r="C45" s="2">
        <x:v>4</x:v>
      </x:c>
      <x:c r="D45" s="4">
        <x:v>46196.381249999999</x:v>
      </x:c>
      <x:c r="E45" s="2">
        <x:v>22</x:v>
      </x:c>
      <x:c r="F45" s="2" t="s">
        <x:v>79</x:v>
      </x:c>
      <x:c r="G45" s="2" t="s">
        <x:v>80</x:v>
      </x:c>
      <x:c r="H45" s="2" t="s">
        <x:v>81</x:v>
      </x:c>
      <x:c r="I45" s="2" t="s">
        <x:v>82</x:v>
      </x:c>
      <x:c r="J45" s="2">
        <x:v>15</x:v>
      </x:c>
      <x:c r="K45" s="5">
        <x:v>58.1</x:v>
      </x:c>
      <x:c r="L45" s="2">
        <x:v>408</x:v>
      </x:c>
      <x:c r="M45" s="2" t="s">
        <x:v>83</x:v>
      </x:c>
      <x:c r="N45" s="2" t="s">
        <x:v>84</x:v>
      </x:c>
      <x:c r="O45" s="6" t="b">
        <x:v>1</x:v>
      </x:c>
      <x:c r="P45" s="2" t="n">
        <x:f>COUNTIF('模块测量'!$B$2:$B$801,A45)</x:f>
        <x:v>4</x:v>
      </x:c>
      <x:c r="Q45" s="2" t="str">
        <x:f t="shared" si="1">IF(P45=4,"PASS","CHECK")</x:f>
        <x:v>PASS</x:v>
      </x:c>
    </x:row>
    <x:row r="46" ht="15">
      <x:c r="A46" s="2" t="s">
        <x:v>129</x:v>
      </x:c>
      <x:c r="B46" s="2" t="s">
        <x:v>31</x:v>
      </x:c>
      <x:c r="C46" s="2">
        <x:v>5</x:v>
      </x:c>
      <x:c r="D46" s="4">
        <x:v>46203.381249999999</x:v>
      </x:c>
      <x:c r="E46" s="2">
        <x:v>29</x:v>
      </x:c>
      <x:c r="F46" s="2" t="s">
        <x:v>79</x:v>
      </x:c>
      <x:c r="G46" s="2" t="s">
        <x:v>80</x:v>
      </x:c>
      <x:c r="H46" s="2" t="s">
        <x:v>81</x:v>
      </x:c>
      <x:c r="I46" s="2" t="s">
        <x:v>82</x:v>
      </x:c>
      <x:c r="J46" s="2">
        <x:v>15</x:v>
      </x:c>
      <x:c r="K46" s="5">
        <x:v>61.6</x:v>
      </x:c>
      <x:c r="L46" s="2">
        <x:v>385</x:v>
      </x:c>
      <x:c r="M46" s="2" t="s">
        <x:v>83</x:v>
      </x:c>
      <x:c r="N46" s="2" t="s">
        <x:v>84</x:v>
      </x:c>
      <x:c r="O46" s="6" t="b">
        <x:v>1</x:v>
      </x:c>
      <x:c r="P46" s="2" t="n">
        <x:f>COUNTIF('模块测量'!$B$2:$B$801,A46)</x:f>
        <x:v>4</x:v>
      </x:c>
      <x:c r="Q46" s="2" t="str">
        <x:f t="shared" si="1">IF(P46=4,"PASS","CHECK")</x:f>
        <x:v>PASS</x:v>
      </x:c>
    </x:row>
    <x:row r="47" ht="15">
      <x:c r="A47" s="2" t="s">
        <x:v>130</x:v>
      </x:c>
      <x:c r="B47" s="2" t="s">
        <x:v>32</x:v>
      </x:c>
      <x:c r="C47" s="2">
        <x:v>1</x:v>
      </x:c>
      <x:c r="D47" s="4">
        <x:v>46176.381944444445</x:v>
      </x:c>
      <x:c r="E47" s="2">
        <x:v>2</x:v>
      </x:c>
      <x:c r="F47" s="2" t="s">
        <x:v>79</x:v>
      </x:c>
      <x:c r="G47" s="2" t="s">
        <x:v>80</x:v>
      </x:c>
      <x:c r="H47" s="2" t="s">
        <x:v>81</x:v>
      </x:c>
      <x:c r="I47" s="2" t="s">
        <x:v>82</x:v>
      </x:c>
      <x:c r="J47" s="2">
        <x:v>15</x:v>
      </x:c>
      <x:c r="K47" s="5">
        <x:v>64.7</x:v>
      </x:c>
      <x:c r="L47" s="2">
        <x:v>572</x:v>
      </x:c>
      <x:c r="M47" s="2" t="s">
        <x:v>83</x:v>
      </x:c>
      <x:c r="N47" s="2" t="s">
        <x:v>84</x:v>
      </x:c>
      <x:c r="O47" s="6" t="b">
        <x:v>1</x:v>
      </x:c>
      <x:c r="P47" s="2" t="n">
        <x:f>COUNTIF('模块测量'!$B$2:$B$801,A47)</x:f>
        <x:v>4</x:v>
      </x:c>
      <x:c r="Q47" s="2" t="str">
        <x:f t="shared" si="1">IF(P47=4,"PASS","CHECK")</x:f>
        <x:v>PASS</x:v>
      </x:c>
    </x:row>
    <x:row r="48" ht="15">
      <x:c r="A48" s="2" t="s">
        <x:v>131</x:v>
      </x:c>
      <x:c r="B48" s="2" t="s">
        <x:v>32</x:v>
      </x:c>
      <x:c r="C48" s="2">
        <x:v>2</x:v>
      </x:c>
      <x:c r="D48" s="4">
        <x:v>46183.381944444445</x:v>
      </x:c>
      <x:c r="E48" s="2">
        <x:v>9</x:v>
      </x:c>
      <x:c r="F48" s="2" t="s">
        <x:v>79</x:v>
      </x:c>
      <x:c r="G48" s="2" t="s">
        <x:v>80</x:v>
      </x:c>
      <x:c r="H48" s="2" t="s">
        <x:v>81</x:v>
      </x:c>
      <x:c r="I48" s="2" t="s">
        <x:v>82</x:v>
      </x:c>
      <x:c r="J48" s="2">
        <x:v>15</x:v>
      </x:c>
      <x:c r="K48" s="5">
        <x:v>65.900000000000006</x:v>
      </x:c>
      <x:c r="L48" s="2">
        <x:v>384</x:v>
      </x:c>
      <x:c r="M48" s="2" t="s">
        <x:v>83</x:v>
      </x:c>
      <x:c r="N48" s="2" t="s">
        <x:v>84</x:v>
      </x:c>
      <x:c r="O48" s="6" t="b">
        <x:v>1</x:v>
      </x:c>
      <x:c r="P48" s="2" t="n">
        <x:f>COUNTIF('模块测量'!$B$2:$B$801,A48)</x:f>
        <x:v>4</x:v>
      </x:c>
      <x:c r="Q48" s="2" t="str">
        <x:f t="shared" si="1">IF(P48=4,"PASS","CHECK")</x:f>
        <x:v>PASS</x:v>
      </x:c>
    </x:row>
    <x:row r="49" ht="15">
      <x:c r="A49" s="2" t="s">
        <x:v>132</x:v>
      </x:c>
      <x:c r="B49" s="2" t="s">
        <x:v>32</x:v>
      </x:c>
      <x:c r="C49" s="2">
        <x:v>3</x:v>
      </x:c>
      <x:c r="D49" s="4">
        <x:v>46190.381944444445</x:v>
      </x:c>
      <x:c r="E49" s="2">
        <x:v>16</x:v>
      </x:c>
      <x:c r="F49" s="2" t="s">
        <x:v>79</x:v>
      </x:c>
      <x:c r="G49" s="2" t="s">
        <x:v>80</x:v>
      </x:c>
      <x:c r="H49" s="2" t="s">
        <x:v>81</x:v>
      </x:c>
      <x:c r="I49" s="2" t="s">
        <x:v>82</x:v>
      </x:c>
      <x:c r="J49" s="2">
        <x:v>15</x:v>
      </x:c>
      <x:c r="K49" s="5">
        <x:v>56.5</x:v>
      </x:c>
      <x:c r="L49" s="2">
        <x:v>354</x:v>
      </x:c>
      <x:c r="M49" s="2" t="s">
        <x:v>83</x:v>
      </x:c>
      <x:c r="N49" s="2" t="s">
        <x:v>84</x:v>
      </x:c>
      <x:c r="O49" s="6" t="b">
        <x:v>1</x:v>
      </x:c>
      <x:c r="P49" s="2" t="n">
        <x:f>COUNTIF('模块测量'!$B$2:$B$801,A49)</x:f>
        <x:v>4</x:v>
      </x:c>
      <x:c r="Q49" s="2" t="str">
        <x:f t="shared" si="1">IF(P49=4,"PASS","CHECK")</x:f>
        <x:v>PASS</x:v>
      </x:c>
    </x:row>
    <x:row r="50" ht="15">
      <x:c r="A50" s="2" t="s">
        <x:v>133</x:v>
      </x:c>
      <x:c r="B50" s="2" t="s">
        <x:v>32</x:v>
      </x:c>
      <x:c r="C50" s="2">
        <x:v>4</x:v>
      </x:c>
      <x:c r="D50" s="4">
        <x:v>46197.381944444445</x:v>
      </x:c>
      <x:c r="E50" s="2">
        <x:v>23</x:v>
      </x:c>
      <x:c r="F50" s="2" t="s">
        <x:v>79</x:v>
      </x:c>
      <x:c r="G50" s="2" t="s">
        <x:v>80</x:v>
      </x:c>
      <x:c r="H50" s="2" t="s">
        <x:v>81</x:v>
      </x:c>
      <x:c r="I50" s="2" t="s">
        <x:v>82</x:v>
      </x:c>
      <x:c r="J50" s="2">
        <x:v>15</x:v>
      </x:c>
      <x:c r="K50" s="5">
        <x:v>61.7</x:v>
      </x:c>
      <x:c r="L50" s="2">
        <x:v>386</x:v>
      </x:c>
      <x:c r="M50" s="2" t="s">
        <x:v>83</x:v>
      </x:c>
      <x:c r="N50" s="2" t="s">
        <x:v>84</x:v>
      </x:c>
      <x:c r="O50" s="6" t="b">
        <x:v>1</x:v>
      </x:c>
      <x:c r="P50" s="2" t="n">
        <x:f>COUNTIF('模块测量'!$B$2:$B$801,A50)</x:f>
        <x:v>4</x:v>
      </x:c>
      <x:c r="Q50" s="2" t="str">
        <x:f t="shared" si="1">IF(P50=4,"PASS","CHECK")</x:f>
        <x:v>PASS</x:v>
      </x:c>
    </x:row>
    <x:row r="51" ht="15">
      <x:c r="A51" s="2" t="s">
        <x:v>134</x:v>
      </x:c>
      <x:c r="B51" s="2" t="s">
        <x:v>32</x:v>
      </x:c>
      <x:c r="C51" s="2">
        <x:v>5</x:v>
      </x:c>
      <x:c r="D51" s="4">
        <x:v>46204.381944444445</x:v>
      </x:c>
      <x:c r="E51" s="2">
        <x:v>30</x:v>
      </x:c>
      <x:c r="F51" s="2" t="s">
        <x:v>79</x:v>
      </x:c>
      <x:c r="G51" s="2" t="s">
        <x:v>80</x:v>
      </x:c>
      <x:c r="H51" s="2" t="s">
        <x:v>81</x:v>
      </x:c>
      <x:c r="I51" s="2" t="s">
        <x:v>82</x:v>
      </x:c>
      <x:c r="J51" s="2">
        <x:v>15</x:v>
      </x:c>
      <x:c r="K51" s="5">
        <x:v>64.5</x:v>
      </x:c>
      <x:c r="L51" s="2">
        <x:v>583</x:v>
      </x:c>
      <x:c r="M51" s="2" t="s">
        <x:v>83</x:v>
      </x:c>
      <x:c r="N51" s="2" t="s">
        <x:v>84</x:v>
      </x:c>
      <x:c r="O51" s="6" t="b">
        <x:v>1</x:v>
      </x:c>
      <x:c r="P51" s="2" t="n">
        <x:f>COUNTIF('模块测量'!$B$2:$B$801,A51)</x:f>
        <x:v>4</x:v>
      </x:c>
      <x:c r="Q51" s="2" t="str">
        <x:f t="shared" si="1">IF(P51=4,"PASS","CHECK")</x:f>
        <x:v>PASS</x:v>
      </x:c>
    </x:row>
    <x:row r="52" ht="15">
      <x:c r="A52" s="2" t="s">
        <x:v>135</x:v>
      </x:c>
      <x:c r="B52" s="2" t="s">
        <x:v>33</x:v>
      </x:c>
      <x:c r="C52" s="2">
        <x:v>1</x:v>
      </x:c>
      <x:c r="D52" s="4">
        <x:v>46177.382638888892</x:v>
      </x:c>
      <x:c r="E52" s="2">
        <x:v>3</x:v>
      </x:c>
      <x:c r="F52" s="2" t="s">
        <x:v>79</x:v>
      </x:c>
      <x:c r="G52" s="2" t="s">
        <x:v>80</x:v>
      </x:c>
      <x:c r="H52" s="2" t="s">
        <x:v>81</x:v>
      </x:c>
      <x:c r="I52" s="2" t="s">
        <x:v>82</x:v>
      </x:c>
      <x:c r="J52" s="2">
        <x:v>15</x:v>
      </x:c>
      <x:c r="K52" s="5">
        <x:v>64.5</x:v>
      </x:c>
      <x:c r="L52" s="2">
        <x:v>410</x:v>
      </x:c>
      <x:c r="M52" s="2" t="s">
        <x:v>83</x:v>
      </x:c>
      <x:c r="N52" s="2" t="s">
        <x:v>84</x:v>
      </x:c>
      <x:c r="O52" s="6" t="b">
        <x:v>1</x:v>
      </x:c>
      <x:c r="P52" s="2" t="n">
        <x:f>COUNTIF('模块测量'!$B$2:$B$801,A52)</x:f>
        <x:v>4</x:v>
      </x:c>
      <x:c r="Q52" s="2" t="str">
        <x:f t="shared" si="1">IF(P52=4,"PASS","CHECK")</x:f>
        <x:v>PASS</x:v>
      </x:c>
    </x:row>
    <x:row r="53" ht="15">
      <x:c r="A53" s="2" t="s">
        <x:v>136</x:v>
      </x:c>
      <x:c r="B53" s="2" t="s">
        <x:v>33</x:v>
      </x:c>
      <x:c r="C53" s="2">
        <x:v>2</x:v>
      </x:c>
      <x:c r="D53" s="4">
        <x:v>46184.382638888892</x:v>
      </x:c>
      <x:c r="E53" s="2">
        <x:v>10</x:v>
      </x:c>
      <x:c r="F53" s="2" t="s">
        <x:v>79</x:v>
      </x:c>
      <x:c r="G53" s="2" t="s">
        <x:v>80</x:v>
      </x:c>
      <x:c r="H53" s="2" t="s">
        <x:v>81</x:v>
      </x:c>
      <x:c r="I53" s="2" t="s">
        <x:v>82</x:v>
      </x:c>
      <x:c r="J53" s="2">
        <x:v>15</x:v>
      </x:c>
      <x:c r="K53" s="5">
        <x:v>56.6</x:v>
      </x:c>
      <x:c r="L53" s="2">
        <x:v>475</x:v>
      </x:c>
      <x:c r="M53" s="2" t="s">
        <x:v>83</x:v>
      </x:c>
      <x:c r="N53" s="2" t="s">
        <x:v>84</x:v>
      </x:c>
      <x:c r="O53" s="6" t="b">
        <x:v>1</x:v>
      </x:c>
      <x:c r="P53" s="2" t="n">
        <x:f>COUNTIF('模块测量'!$B$2:$B$801,A53)</x:f>
        <x:v>4</x:v>
      </x:c>
      <x:c r="Q53" s="2" t="str">
        <x:f t="shared" si="1">IF(P53=4,"PASS","CHECK")</x:f>
        <x:v>PASS</x:v>
      </x:c>
    </x:row>
    <x:row r="54" ht="15">
      <x:c r="A54" s="2" t="s">
        <x:v>137</x:v>
      </x:c>
      <x:c r="B54" s="2" t="s">
        <x:v>33</x:v>
      </x:c>
      <x:c r="C54" s="2">
        <x:v>3</x:v>
      </x:c>
      <x:c r="D54" s="4">
        <x:v>46191.382638888892</x:v>
      </x:c>
      <x:c r="E54" s="2">
        <x:v>17</x:v>
      </x:c>
      <x:c r="F54" s="2" t="s">
        <x:v>79</x:v>
      </x:c>
      <x:c r="G54" s="2" t="s">
        <x:v>80</x:v>
      </x:c>
      <x:c r="H54" s="2" t="s">
        <x:v>81</x:v>
      </x:c>
      <x:c r="I54" s="2" t="s">
        <x:v>82</x:v>
      </x:c>
      <x:c r="J54" s="2">
        <x:v>15</x:v>
      </x:c>
      <x:c r="K54" s="5">
        <x:v>64</x:v>
      </x:c>
      <x:c r="L54" s="2">
        <x:v>376</x:v>
      </x:c>
      <x:c r="M54" s="2" t="s">
        <x:v>83</x:v>
      </x:c>
      <x:c r="N54" s="2" t="s">
        <x:v>84</x:v>
      </x:c>
      <x:c r="O54" s="6" t="b">
        <x:v>1</x:v>
      </x:c>
      <x:c r="P54" s="2" t="n">
        <x:f>COUNTIF('模块测量'!$B$2:$B$801,A54)</x:f>
        <x:v>4</x:v>
      </x:c>
      <x:c r="Q54" s="2" t="str">
        <x:f t="shared" si="1">IF(P54=4,"PASS","CHECK")</x:f>
        <x:v>PASS</x:v>
      </x:c>
    </x:row>
    <x:row r="55" ht="15">
      <x:c r="A55" s="2" t="s">
        <x:v>138</x:v>
      </x:c>
      <x:c r="B55" s="2" t="s">
        <x:v>33</x:v>
      </x:c>
      <x:c r="C55" s="2">
        <x:v>4</x:v>
      </x:c>
      <x:c r="D55" s="4">
        <x:v>46198.382638888892</x:v>
      </x:c>
      <x:c r="E55" s="2">
        <x:v>24</x:v>
      </x:c>
      <x:c r="F55" s="2" t="s">
        <x:v>79</x:v>
      </x:c>
      <x:c r="G55" s="2" t="s">
        <x:v>80</x:v>
      </x:c>
      <x:c r="H55" s="2" t="s">
        <x:v>81</x:v>
      </x:c>
      <x:c r="I55" s="2" t="s">
        <x:v>82</x:v>
      </x:c>
      <x:c r="J55" s="2">
        <x:v>15</x:v>
      </x:c>
      <x:c r="K55" s="5">
        <x:v>59.6</x:v>
      </x:c>
      <x:c r="L55" s="2">
        <x:v>258</x:v>
      </x:c>
      <x:c r="M55" s="2" t="s">
        <x:v>83</x:v>
      </x:c>
      <x:c r="N55" s="2" t="s">
        <x:v>84</x:v>
      </x:c>
      <x:c r="O55" s="6" t="b">
        <x:v>1</x:v>
      </x:c>
      <x:c r="P55" s="2" t="n">
        <x:f>COUNTIF('模块测量'!$B$2:$B$801,A55)</x:f>
        <x:v>4</x:v>
      </x:c>
      <x:c r="Q55" s="2" t="str">
        <x:f t="shared" si="1">IF(P55=4,"PASS","CHECK")</x:f>
        <x:v>PASS</x:v>
      </x:c>
    </x:row>
    <x:row r="56" ht="15">
      <x:c r="A56" s="2" t="s">
        <x:v>139</x:v>
      </x:c>
      <x:c r="B56" s="2" t="s">
        <x:v>33</x:v>
      </x:c>
      <x:c r="C56" s="2">
        <x:v>5</x:v>
      </x:c>
      <x:c r="D56" s="4">
        <x:v>46205.382638888892</x:v>
      </x:c>
      <x:c r="E56" s="2">
        <x:v>31</x:v>
      </x:c>
      <x:c r="F56" s="2" t="s">
        <x:v>79</x:v>
      </x:c>
      <x:c r="G56" s="2" t="s">
        <x:v>80</x:v>
      </x:c>
      <x:c r="H56" s="2" t="s">
        <x:v>81</x:v>
      </x:c>
      <x:c r="I56" s="2" t="s">
        <x:v>82</x:v>
      </x:c>
      <x:c r="J56" s="2">
        <x:v>15</x:v>
      </x:c>
      <x:c r="K56" s="5">
        <x:v>64.099999999999994</x:v>
      </x:c>
      <x:c r="L56" s="2">
        <x:v>464</x:v>
      </x:c>
      <x:c r="M56" s="2" t="s">
        <x:v>83</x:v>
      </x:c>
      <x:c r="N56" s="2" t="s">
        <x:v>84</x:v>
      </x:c>
      <x:c r="O56" s="6" t="b">
        <x:v>1</x:v>
      </x:c>
      <x:c r="P56" s="2" t="n">
        <x:f>COUNTIF('模块测量'!$B$2:$B$801,A56)</x:f>
        <x:v>4</x:v>
      </x:c>
      <x:c r="Q56" s="2" t="str">
        <x:f t="shared" si="1">IF(P56=4,"PASS","CHECK")</x:f>
        <x:v>PASS</x:v>
      </x:c>
    </x:row>
    <x:row r="57" ht="15">
      <x:c r="A57" s="2" t="s">
        <x:v>140</x:v>
      </x:c>
      <x:c r="B57" s="2" t="s">
        <x:v>34</x:v>
      </x:c>
      <x:c r="C57" s="2">
        <x:v>1</x:v>
      </x:c>
      <x:c r="D57" s="4">
        <x:v>46178.383333333331</x:v>
      </x:c>
      <x:c r="E57" s="2">
        <x:v>4</x:v>
      </x:c>
      <x:c r="F57" s="2" t="s">
        <x:v>79</x:v>
      </x:c>
      <x:c r="G57" s="2" t="s">
        <x:v>80</x:v>
      </x:c>
      <x:c r="H57" s="2" t="s">
        <x:v>81</x:v>
      </x:c>
      <x:c r="I57" s="2" t="s">
        <x:v>82</x:v>
      </x:c>
      <x:c r="J57" s="2">
        <x:v>15</x:v>
      </x:c>
      <x:c r="K57" s="5">
        <x:v>64.3</x:v>
      </x:c>
      <x:c r="L57" s="2">
        <x:v>536</x:v>
      </x:c>
      <x:c r="M57" s="2" t="s">
        <x:v>83</x:v>
      </x:c>
      <x:c r="N57" s="2" t="s">
        <x:v>100</x:v>
      </x:c>
      <x:c r="O57" s="6" t="b">
        <x:v>1</x:v>
      </x:c>
      <x:c r="P57" s="2" t="n">
        <x:f>COUNTIF('模块测量'!$B$2:$B$801,A57)</x:f>
        <x:v>4</x:v>
      </x:c>
      <x:c r="Q57" s="2" t="str">
        <x:f t="shared" si="1">IF(P57=4,"PASS","CHECK")</x:f>
        <x:v>PASS</x:v>
      </x:c>
    </x:row>
    <x:row r="58" ht="15">
      <x:c r="A58" s="2" t="s">
        <x:v>141</x:v>
      </x:c>
      <x:c r="B58" s="2" t="s">
        <x:v>34</x:v>
      </x:c>
      <x:c r="C58" s="2">
        <x:v>2</x:v>
      </x:c>
      <x:c r="D58" s="4">
        <x:v>46185.383333333331</x:v>
      </x:c>
      <x:c r="E58" s="2">
        <x:v>11</x:v>
      </x:c>
      <x:c r="F58" s="2" t="s">
        <x:v>79</x:v>
      </x:c>
      <x:c r="G58" s="2" t="s">
        <x:v>80</x:v>
      </x:c>
      <x:c r="H58" s="2" t="s">
        <x:v>81</x:v>
      </x:c>
      <x:c r="I58" s="2" t="s">
        <x:v>82</x:v>
      </x:c>
      <x:c r="J58" s="2">
        <x:v>15</x:v>
      </x:c>
      <x:c r="K58" s="5">
        <x:v>62.5</x:v>
      </x:c>
      <x:c r="L58" s="2">
        <x:v>425</x:v>
      </x:c>
      <x:c r="M58" s="2" t="s">
        <x:v>83</x:v>
      </x:c>
      <x:c r="N58" s="2" t="s">
        <x:v>100</x:v>
      </x:c>
      <x:c r="O58" s="6" t="b">
        <x:v>1</x:v>
      </x:c>
      <x:c r="P58" s="2" t="n">
        <x:f>COUNTIF('模块测量'!$B$2:$B$801,A58)</x:f>
        <x:v>4</x:v>
      </x:c>
      <x:c r="Q58" s="2" t="str">
        <x:f t="shared" si="1">IF(P58=4,"PASS","CHECK")</x:f>
        <x:v>PASS</x:v>
      </x:c>
    </x:row>
    <x:row r="59" ht="15">
      <x:c r="A59" s="2" t="s">
        <x:v>142</x:v>
      </x:c>
      <x:c r="B59" s="2" t="s">
        <x:v>34</x:v>
      </x:c>
      <x:c r="C59" s="2">
        <x:v>3</x:v>
      </x:c>
      <x:c r="D59" s="4">
        <x:v>46192.383333333331</x:v>
      </x:c>
      <x:c r="E59" s="2">
        <x:v>18</x:v>
      </x:c>
      <x:c r="F59" s="2" t="s">
        <x:v>79</x:v>
      </x:c>
      <x:c r="G59" s="2" t="s">
        <x:v>80</x:v>
      </x:c>
      <x:c r="H59" s="2" t="s">
        <x:v>81</x:v>
      </x:c>
      <x:c r="I59" s="2" t="s">
        <x:v>82</x:v>
      </x:c>
      <x:c r="J59" s="2">
        <x:v>15</x:v>
      </x:c>
      <x:c r="K59" s="5">
        <x:v>61.9</x:v>
      </x:c>
      <x:c r="L59" s="2">
        <x:v>446</x:v>
      </x:c>
      <x:c r="M59" s="2" t="s">
        <x:v>83</x:v>
      </x:c>
      <x:c r="N59" s="2" t="s">
        <x:v>100</x:v>
      </x:c>
      <x:c r="O59" s="6" t="b">
        <x:v>1</x:v>
      </x:c>
      <x:c r="P59" s="2" t="n">
        <x:f>COUNTIF('模块测量'!$B$2:$B$801,A59)</x:f>
        <x:v>4</x:v>
      </x:c>
      <x:c r="Q59" s="2" t="str">
        <x:f t="shared" si="1">IF(P59=4,"PASS","CHECK")</x:f>
        <x:v>PASS</x:v>
      </x:c>
    </x:row>
    <x:row r="60" ht="15">
      <x:c r="A60" s="2" t="s">
        <x:v>143</x:v>
      </x:c>
      <x:c r="B60" s="2" t="s">
        <x:v>34</x:v>
      </x:c>
      <x:c r="C60" s="2">
        <x:v>4</x:v>
      </x:c>
      <x:c r="D60" s="4">
        <x:v>46199.383333333331</x:v>
      </x:c>
      <x:c r="E60" s="2">
        <x:v>25</x:v>
      </x:c>
      <x:c r="F60" s="2" t="s">
        <x:v>79</x:v>
      </x:c>
      <x:c r="G60" s="2" t="s">
        <x:v>80</x:v>
      </x:c>
      <x:c r="H60" s="2" t="s">
        <x:v>81</x:v>
      </x:c>
      <x:c r="I60" s="2" t="s">
        <x:v>82</x:v>
      </x:c>
      <x:c r="J60" s="2">
        <x:v>15</x:v>
      </x:c>
      <x:c r="K60" s="5">
        <x:v>64</x:v>
      </x:c>
      <x:c r="L60" s="2">
        <x:v>290</x:v>
      </x:c>
      <x:c r="M60" s="2" t="s">
        <x:v>83</x:v>
      </x:c>
      <x:c r="N60" s="2" t="s">
        <x:v>100</x:v>
      </x:c>
      <x:c r="O60" s="6" t="b">
        <x:v>1</x:v>
      </x:c>
      <x:c r="P60" s="2" t="n">
        <x:f>COUNTIF('模块测量'!$B$2:$B$801,A60)</x:f>
        <x:v>4</x:v>
      </x:c>
      <x:c r="Q60" s="2" t="str">
        <x:f t="shared" si="1">IF(P60=4,"PASS","CHECK")</x:f>
        <x:v>PASS</x:v>
      </x:c>
    </x:row>
    <x:row r="61" ht="15">
      <x:c r="A61" s="2" t="s">
        <x:v>144</x:v>
      </x:c>
      <x:c r="B61" s="2" t="s">
        <x:v>34</x:v>
      </x:c>
      <x:c r="C61" s="2">
        <x:v>5</x:v>
      </x:c>
      <x:c r="D61" s="4">
        <x:v>46206.383333333331</x:v>
      </x:c>
      <x:c r="E61" s="2">
        <x:v>32</x:v>
      </x:c>
      <x:c r="F61" s="2" t="s">
        <x:v>79</x:v>
      </x:c>
      <x:c r="G61" s="2" t="s">
        <x:v>80</x:v>
      </x:c>
      <x:c r="H61" s="2" t="s">
        <x:v>81</x:v>
      </x:c>
      <x:c r="I61" s="2" t="s">
        <x:v>82</x:v>
      </x:c>
      <x:c r="J61" s="2">
        <x:v>15</x:v>
      </x:c>
      <x:c r="K61" s="5">
        <x:v>63</x:v>
      </x:c>
      <x:c r="L61" s="2">
        <x:v>457</x:v>
      </x:c>
      <x:c r="M61" s="2" t="s">
        <x:v>83</x:v>
      </x:c>
      <x:c r="N61" s="2" t="s">
        <x:v>100</x:v>
      </x:c>
      <x:c r="O61" s="6" t="b">
        <x:v>1</x:v>
      </x:c>
      <x:c r="P61" s="2" t="n">
        <x:f>COUNTIF('模块测量'!$B$2:$B$801,A61)</x:f>
        <x:v>4</x:v>
      </x:c>
      <x:c r="Q61" s="2" t="str">
        <x:f t="shared" si="1">IF(P61=4,"PASS","CHECK")</x:f>
        <x:v>PASS</x:v>
      </x:c>
    </x:row>
    <x:row r="62" ht="15">
      <x:c r="A62" s="2" t="s">
        <x:v>145</x:v>
      </x:c>
      <x:c r="B62" s="2" t="s">
        <x:v>35</x:v>
      </x:c>
      <x:c r="C62" s="2">
        <x:v>1</x:v>
      </x:c>
      <x:c r="D62" s="4">
        <x:v>46179.384027777778</x:v>
      </x:c>
      <x:c r="E62" s="2">
        <x:v>5</x:v>
      </x:c>
      <x:c r="F62" s="2" t="s">
        <x:v>79</x:v>
      </x:c>
      <x:c r="G62" s="2" t="s">
        <x:v>80</x:v>
      </x:c>
      <x:c r="H62" s="2" t="s">
        <x:v>81</x:v>
      </x:c>
      <x:c r="I62" s="2" t="s">
        <x:v>82</x:v>
      </x:c>
      <x:c r="J62" s="2">
        <x:v>15</x:v>
      </x:c>
      <x:c r="K62" s="5">
        <x:v>55.7</x:v>
      </x:c>
      <x:c r="L62" s="2">
        <x:v>416</x:v>
      </x:c>
      <x:c r="M62" s="2" t="s">
        <x:v>83</x:v>
      </x:c>
      <x:c r="N62" s="2" t="s">
        <x:v>84</x:v>
      </x:c>
      <x:c r="O62" s="6" t="b">
        <x:v>1</x:v>
      </x:c>
      <x:c r="P62" s="2" t="n">
        <x:f>COUNTIF('模块测量'!$B$2:$B$801,A62)</x:f>
        <x:v>4</x:v>
      </x:c>
      <x:c r="Q62" s="2" t="str">
        <x:f t="shared" si="1">IF(P62=4,"PASS","CHECK")</x:f>
        <x:v>PASS</x:v>
      </x:c>
    </x:row>
    <x:row r="63" ht="15">
      <x:c r="A63" s="2" t="s">
        <x:v>146</x:v>
      </x:c>
      <x:c r="B63" s="2" t="s">
        <x:v>35</x:v>
      </x:c>
      <x:c r="C63" s="2">
        <x:v>2</x:v>
      </x:c>
      <x:c r="D63" s="4">
        <x:v>46186.384027777778</x:v>
      </x:c>
      <x:c r="E63" s="2">
        <x:v>12</x:v>
      </x:c>
      <x:c r="F63" s="2" t="s">
        <x:v>79</x:v>
      </x:c>
      <x:c r="G63" s="2" t="s">
        <x:v>80</x:v>
      </x:c>
      <x:c r="H63" s="2" t="s">
        <x:v>81</x:v>
      </x:c>
      <x:c r="I63" s="2" t="s">
        <x:v>82</x:v>
      </x:c>
      <x:c r="J63" s="2">
        <x:v>15</x:v>
      </x:c>
      <x:c r="K63" s="5">
        <x:v>59.8</x:v>
      </x:c>
      <x:c r="L63" s="2">
        <x:v>341</x:v>
      </x:c>
      <x:c r="M63" s="2" t="s">
        <x:v>83</x:v>
      </x:c>
      <x:c r="N63" s="2" t="s">
        <x:v>84</x:v>
      </x:c>
      <x:c r="O63" s="6" t="b">
        <x:v>1</x:v>
      </x:c>
      <x:c r="P63" s="2" t="n">
        <x:f>COUNTIF('模块测量'!$B$2:$B$801,A63)</x:f>
        <x:v>4</x:v>
      </x:c>
      <x:c r="Q63" s="2" t="str">
        <x:f t="shared" si="1">IF(P63=4,"PASS","CHECK")</x:f>
        <x:v>PASS</x:v>
      </x:c>
    </x:row>
    <x:row r="64" ht="15">
      <x:c r="A64" s="2" t="s">
        <x:v>147</x:v>
      </x:c>
      <x:c r="B64" s="2" t="s">
        <x:v>35</x:v>
      </x:c>
      <x:c r="C64" s="2">
        <x:v>3</x:v>
      </x:c>
      <x:c r="D64" s="4">
        <x:v>46193.384027777778</x:v>
      </x:c>
      <x:c r="E64" s="2">
        <x:v>19</x:v>
      </x:c>
      <x:c r="F64" s="2" t="s">
        <x:v>79</x:v>
      </x:c>
      <x:c r="G64" s="2" t="s">
        <x:v>80</x:v>
      </x:c>
      <x:c r="H64" s="2" t="s">
        <x:v>81</x:v>
      </x:c>
      <x:c r="I64" s="2" t="s">
        <x:v>82</x:v>
      </x:c>
      <x:c r="J64" s="2">
        <x:v>15</x:v>
      </x:c>
      <x:c r="K64" s="5">
        <x:v>64.5</x:v>
      </x:c>
      <x:c r="L64" s="2">
        <x:v>300</x:v>
      </x:c>
      <x:c r="M64" s="2" t="s">
        <x:v>83</x:v>
      </x:c>
      <x:c r="N64" s="2" t="s">
        <x:v>84</x:v>
      </x:c>
      <x:c r="O64" s="6" t="b">
        <x:v>1</x:v>
      </x:c>
      <x:c r="P64" s="2" t="n">
        <x:f>COUNTIF('模块测量'!$B$2:$B$801,A64)</x:f>
        <x:v>4</x:v>
      </x:c>
      <x:c r="Q64" s="2" t="str">
        <x:f t="shared" si="1">IF(P64=4,"PASS","CHECK")</x:f>
        <x:v>PASS</x:v>
      </x:c>
    </x:row>
    <x:row r="65" ht="15">
      <x:c r="A65" s="2" t="s">
        <x:v>148</x:v>
      </x:c>
      <x:c r="B65" s="2" t="s">
        <x:v>35</x:v>
      </x:c>
      <x:c r="C65" s="2">
        <x:v>4</x:v>
      </x:c>
      <x:c r="D65" s="4">
        <x:v>46200.384027777778</x:v>
      </x:c>
      <x:c r="E65" s="2">
        <x:v>26</x:v>
      </x:c>
      <x:c r="F65" s="2" t="s">
        <x:v>79</x:v>
      </x:c>
      <x:c r="G65" s="2" t="s">
        <x:v>80</x:v>
      </x:c>
      <x:c r="H65" s="2" t="s">
        <x:v>81</x:v>
      </x:c>
      <x:c r="I65" s="2" t="s">
        <x:v>82</x:v>
      </x:c>
      <x:c r="J65" s="2">
        <x:v>15</x:v>
      </x:c>
      <x:c r="K65" s="5">
        <x:v>69</x:v>
      </x:c>
      <x:c r="L65" s="2">
        <x:v>365</x:v>
      </x:c>
      <x:c r="M65" s="2" t="s">
        <x:v>83</x:v>
      </x:c>
      <x:c r="N65" s="2" t="s">
        <x:v>84</x:v>
      </x:c>
      <x:c r="O65" s="6" t="b">
        <x:v>1</x:v>
      </x:c>
      <x:c r="P65" s="2" t="n">
        <x:f>COUNTIF('模块测量'!$B$2:$B$801,A65)</x:f>
        <x:v>4</x:v>
      </x:c>
      <x:c r="Q65" s="2" t="str">
        <x:f t="shared" si="1">IF(P65=4,"PASS","CHECK")</x:f>
        <x:v>PASS</x:v>
      </x:c>
    </x:row>
    <x:row r="66" ht="15">
      <x:c r="A66" s="2" t="s">
        <x:v>149</x:v>
      </x:c>
      <x:c r="B66" s="2" t="s">
        <x:v>35</x:v>
      </x:c>
      <x:c r="C66" s="2">
        <x:v>5</x:v>
      </x:c>
      <x:c r="D66" s="4">
        <x:v>46207.384027777778</x:v>
      </x:c>
      <x:c r="E66" s="2">
        <x:v>33</x:v>
      </x:c>
      <x:c r="F66" s="2" t="s">
        <x:v>79</x:v>
      </x:c>
      <x:c r="G66" s="2" t="s">
        <x:v>80</x:v>
      </x:c>
      <x:c r="H66" s="2" t="s">
        <x:v>81</x:v>
      </x:c>
      <x:c r="I66" s="2" t="s">
        <x:v>82</x:v>
      </x:c>
      <x:c r="J66" s="2">
        <x:v>15</x:v>
      </x:c>
      <x:c r="K66" s="5">
        <x:v>64.5</x:v>
      </x:c>
      <x:c r="L66" s="2">
        <x:v>532</x:v>
      </x:c>
      <x:c r="M66" s="2" t="s">
        <x:v>83</x:v>
      </x:c>
      <x:c r="N66" s="2" t="s">
        <x:v>84</x:v>
      </x:c>
      <x:c r="O66" s="6" t="b">
        <x:v>1</x:v>
      </x:c>
      <x:c r="P66" s="2" t="n">
        <x:f>COUNTIF('模块测量'!$B$2:$B$801,A66)</x:f>
        <x:v>4</x:v>
      </x:c>
      <x:c r="Q66" s="2" t="str">
        <x:f t="shared" ref="Q66:Q97" si="2">IF(P66=4,"PASS","CHECK")</x:f>
        <x:v>PASS</x:v>
      </x:c>
    </x:row>
    <x:row r="67" ht="15">
      <x:c r="A67" s="2" t="s">
        <x:v>150</x:v>
      </x:c>
      <x:c r="B67" s="2" t="s">
        <x:v>36</x:v>
      </x:c>
      <x:c r="C67" s="2">
        <x:v>1</x:v>
      </x:c>
      <x:c r="D67" s="4">
        <x:v>46180.384722222225</x:v>
      </x:c>
      <x:c r="E67" s="2">
        <x:v>6</x:v>
      </x:c>
      <x:c r="F67" s="2" t="s">
        <x:v>79</x:v>
      </x:c>
      <x:c r="G67" s="2" t="s">
        <x:v>80</x:v>
      </x:c>
      <x:c r="H67" s="2" t="s">
        <x:v>81</x:v>
      </x:c>
      <x:c r="I67" s="2" t="s">
        <x:v>82</x:v>
      </x:c>
      <x:c r="J67" s="2">
        <x:v>15</x:v>
      </x:c>
      <x:c r="K67" s="5">
        <x:v>63</x:v>
      </x:c>
      <x:c r="L67" s="2">
        <x:v>427</x:v>
      </x:c>
      <x:c r="M67" s="2" t="s">
        <x:v>83</x:v>
      </x:c>
      <x:c r="N67" s="2" t="s">
        <x:v>84</x:v>
      </x:c>
      <x:c r="O67" s="6" t="b">
        <x:v>1</x:v>
      </x:c>
      <x:c r="P67" s="2" t="n">
        <x:f>COUNTIF('模块测量'!$B$2:$B$801,A67)</x:f>
        <x:v>4</x:v>
      </x:c>
      <x:c r="Q67" s="2" t="str">
        <x:f t="shared" si="2">IF(P67=4,"PASS","CHECK")</x:f>
        <x:v>PASS</x:v>
      </x:c>
    </x:row>
    <x:row r="68" ht="15">
      <x:c r="A68" s="2" t="s">
        <x:v>151</x:v>
      </x:c>
      <x:c r="B68" s="2" t="s">
        <x:v>36</x:v>
      </x:c>
      <x:c r="C68" s="2">
        <x:v>2</x:v>
      </x:c>
      <x:c r="D68" s="4">
        <x:v>46187.384722222225</x:v>
      </x:c>
      <x:c r="E68" s="2">
        <x:v>13</x:v>
      </x:c>
      <x:c r="F68" s="2" t="s">
        <x:v>79</x:v>
      </x:c>
      <x:c r="G68" s="2" t="s">
        <x:v>80</x:v>
      </x:c>
      <x:c r="H68" s="2" t="s">
        <x:v>81</x:v>
      </x:c>
      <x:c r="I68" s="2" t="s">
        <x:v>82</x:v>
      </x:c>
      <x:c r="J68" s="2">
        <x:v>15</x:v>
      </x:c>
      <x:c r="K68" s="5">
        <x:v>65.7</x:v>
      </x:c>
      <x:c r="L68" s="2">
        <x:v>290</x:v>
      </x:c>
      <x:c r="M68" s="2" t="s">
        <x:v>83</x:v>
      </x:c>
      <x:c r="N68" s="2" t="s">
        <x:v>84</x:v>
      </x:c>
      <x:c r="O68" s="6" t="b">
        <x:v>1</x:v>
      </x:c>
      <x:c r="P68" s="2" t="n">
        <x:f>COUNTIF('模块测量'!$B$2:$B$801,A68)</x:f>
        <x:v>4</x:v>
      </x:c>
      <x:c r="Q68" s="2" t="str">
        <x:f t="shared" si="2">IF(P68=4,"PASS","CHECK")</x:f>
        <x:v>PASS</x:v>
      </x:c>
    </x:row>
    <x:row r="69" ht="15">
      <x:c r="A69" s="2" t="s">
        <x:v>152</x:v>
      </x:c>
      <x:c r="B69" s="2" t="s">
        <x:v>36</x:v>
      </x:c>
      <x:c r="C69" s="2">
        <x:v>3</x:v>
      </x:c>
      <x:c r="D69" s="4">
        <x:v>46194.384722222225</x:v>
      </x:c>
      <x:c r="E69" s="2">
        <x:v>20</x:v>
      </x:c>
      <x:c r="F69" s="2" t="s">
        <x:v>79</x:v>
      </x:c>
      <x:c r="G69" s="2" t="s">
        <x:v>80</x:v>
      </x:c>
      <x:c r="H69" s="2" t="s">
        <x:v>81</x:v>
      </x:c>
      <x:c r="I69" s="2" t="s">
        <x:v>82</x:v>
      </x:c>
      <x:c r="J69" s="2">
        <x:v>15</x:v>
      </x:c>
      <x:c r="K69" s="5">
        <x:v>61.8</x:v>
      </x:c>
      <x:c r="L69" s="2">
        <x:v>442</x:v>
      </x:c>
      <x:c r="M69" s="2" t="s">
        <x:v>83</x:v>
      </x:c>
      <x:c r="N69" s="2" t="s">
        <x:v>84</x:v>
      </x:c>
      <x:c r="O69" s="6" t="b">
        <x:v>1</x:v>
      </x:c>
      <x:c r="P69" s="2" t="n">
        <x:f>COUNTIF('模块测量'!$B$2:$B$801,A69)</x:f>
        <x:v>4</x:v>
      </x:c>
      <x:c r="Q69" s="2" t="str">
        <x:f t="shared" si="2">IF(P69=4,"PASS","CHECK")</x:f>
        <x:v>PASS</x:v>
      </x:c>
    </x:row>
    <x:row r="70" ht="15">
      <x:c r="A70" s="2" t="s">
        <x:v>153</x:v>
      </x:c>
      <x:c r="B70" s="2" t="s">
        <x:v>36</x:v>
      </x:c>
      <x:c r="C70" s="2">
        <x:v>4</x:v>
      </x:c>
      <x:c r="D70" s="4">
        <x:v>46201.384722222225</x:v>
      </x:c>
      <x:c r="E70" s="2">
        <x:v>27</x:v>
      </x:c>
      <x:c r="F70" s="2" t="s">
        <x:v>79</x:v>
      </x:c>
      <x:c r="G70" s="2" t="s">
        <x:v>80</x:v>
      </x:c>
      <x:c r="H70" s="2" t="s">
        <x:v>81</x:v>
      </x:c>
      <x:c r="I70" s="2" t="s">
        <x:v>82</x:v>
      </x:c>
      <x:c r="J70" s="2">
        <x:v>15</x:v>
      </x:c>
      <x:c r="K70" s="5">
        <x:v>59.9</x:v>
      </x:c>
      <x:c r="L70" s="2">
        <x:v>472</x:v>
      </x:c>
      <x:c r="M70" s="2" t="s">
        <x:v>83</x:v>
      </x:c>
      <x:c r="N70" s="2" t="s">
        <x:v>84</x:v>
      </x:c>
      <x:c r="O70" s="6" t="b">
        <x:v>1</x:v>
      </x:c>
      <x:c r="P70" s="2" t="n">
        <x:f>COUNTIF('模块测量'!$B$2:$B$801,A70)</x:f>
        <x:v>4</x:v>
      </x:c>
      <x:c r="Q70" s="2" t="str">
        <x:f t="shared" si="2">IF(P70=4,"PASS","CHECK")</x:f>
        <x:v>PASS</x:v>
      </x:c>
    </x:row>
    <x:row r="71" ht="15">
      <x:c r="A71" s="2" t="s">
        <x:v>154</x:v>
      </x:c>
      <x:c r="B71" s="2" t="s">
        <x:v>36</x:v>
      </x:c>
      <x:c r="C71" s="2">
        <x:v>5</x:v>
      </x:c>
      <x:c r="D71" s="4">
        <x:v>46208.384722222225</x:v>
      </x:c>
      <x:c r="E71" s="2">
        <x:v>34</x:v>
      </x:c>
      <x:c r="F71" s="2" t="s">
        <x:v>79</x:v>
      </x:c>
      <x:c r="G71" s="2" t="s">
        <x:v>80</x:v>
      </x:c>
      <x:c r="H71" s="2" t="s">
        <x:v>81</x:v>
      </x:c>
      <x:c r="I71" s="2" t="s">
        <x:v>82</x:v>
      </x:c>
      <x:c r="J71" s="2">
        <x:v>15</x:v>
      </x:c>
      <x:c r="K71" s="5">
        <x:v>66.5</x:v>
      </x:c>
      <x:c r="L71" s="2">
        <x:v>483</x:v>
      </x:c>
      <x:c r="M71" s="2" t="s">
        <x:v>83</x:v>
      </x:c>
      <x:c r="N71" s="2" t="s">
        <x:v>84</x:v>
      </x:c>
      <x:c r="O71" s="6" t="b">
        <x:v>1</x:v>
      </x:c>
      <x:c r="P71" s="2" t="n">
        <x:f>COUNTIF('模块测量'!$B$2:$B$801,A71)</x:f>
        <x:v>4</x:v>
      </x:c>
      <x:c r="Q71" s="2" t="str">
        <x:f t="shared" si="2">IF(P71=4,"PASS","CHECK")</x:f>
        <x:v>PASS</x:v>
      </x:c>
    </x:row>
    <x:row r="72" ht="15">
      <x:c r="A72" s="2" t="s">
        <x:v>155</x:v>
      </x:c>
      <x:c r="B72" s="2" t="s">
        <x:v>37</x:v>
      </x:c>
      <x:c r="C72" s="2">
        <x:v>1</x:v>
      </x:c>
      <x:c r="D72" s="4">
        <x:v>46174.385416666664</x:v>
      </x:c>
      <x:c r="E72" s="2">
        <x:v>0</x:v>
      </x:c>
      <x:c r="F72" s="2" t="s">
        <x:v>79</x:v>
      </x:c>
      <x:c r="G72" s="2" t="s">
        <x:v>80</x:v>
      </x:c>
      <x:c r="H72" s="2" t="s">
        <x:v>81</x:v>
      </x:c>
      <x:c r="I72" s="2" t="s">
        <x:v>82</x:v>
      </x:c>
      <x:c r="J72" s="2">
        <x:v>15</x:v>
      </x:c>
      <x:c r="K72" s="5">
        <x:v>59.5</x:v>
      </x:c>
      <x:c r="L72" s="2">
        <x:v>485</x:v>
      </x:c>
      <x:c r="M72" s="2" t="s">
        <x:v>83</x:v>
      </x:c>
      <x:c r="N72" s="2" t="s">
        <x:v>84</x:v>
      </x:c>
      <x:c r="O72" s="6" t="b">
        <x:v>1</x:v>
      </x:c>
      <x:c r="P72" s="2" t="n">
        <x:f>COUNTIF('模块测量'!$B$2:$B$801,A72)</x:f>
        <x:v>4</x:v>
      </x:c>
      <x:c r="Q72" s="2" t="str">
        <x:f t="shared" si="2">IF(P72=4,"PASS","CHECK")</x:f>
        <x:v>PASS</x:v>
      </x:c>
    </x:row>
    <x:row r="73" ht="15">
      <x:c r="A73" s="2" t="s">
        <x:v>156</x:v>
      </x:c>
      <x:c r="B73" s="2" t="s">
        <x:v>37</x:v>
      </x:c>
      <x:c r="C73" s="2">
        <x:v>2</x:v>
      </x:c>
      <x:c r="D73" s="4">
        <x:v>46181.385416666664</x:v>
      </x:c>
      <x:c r="E73" s="2">
        <x:v>7</x:v>
      </x:c>
      <x:c r="F73" s="2" t="s">
        <x:v>79</x:v>
      </x:c>
      <x:c r="G73" s="2" t="s">
        <x:v>80</x:v>
      </x:c>
      <x:c r="H73" s="2" t="s">
        <x:v>81</x:v>
      </x:c>
      <x:c r="I73" s="2" t="s">
        <x:v>82</x:v>
      </x:c>
      <x:c r="J73" s="2">
        <x:v>15</x:v>
      </x:c>
      <x:c r="K73" s="5">
        <x:v>56.8</x:v>
      </x:c>
      <x:c r="L73" s="2">
        <x:v>455</x:v>
      </x:c>
      <x:c r="M73" s="2" t="s">
        <x:v>83</x:v>
      </x:c>
      <x:c r="N73" s="2" t="s">
        <x:v>84</x:v>
      </x:c>
      <x:c r="O73" s="6" t="b">
        <x:v>1</x:v>
      </x:c>
      <x:c r="P73" s="2" t="n">
        <x:f>COUNTIF('模块测量'!$B$2:$B$801,A73)</x:f>
        <x:v>4</x:v>
      </x:c>
      <x:c r="Q73" s="2" t="str">
        <x:f t="shared" si="2">IF(P73=4,"PASS","CHECK")</x:f>
        <x:v>PASS</x:v>
      </x:c>
    </x:row>
    <x:row r="74" ht="15">
      <x:c r="A74" s="2" t="s">
        <x:v>157</x:v>
      </x:c>
      <x:c r="B74" s="2" t="s">
        <x:v>37</x:v>
      </x:c>
      <x:c r="C74" s="2">
        <x:v>3</x:v>
      </x:c>
      <x:c r="D74" s="4">
        <x:v>46188.385416666664</x:v>
      </x:c>
      <x:c r="E74" s="2">
        <x:v>14</x:v>
      </x:c>
      <x:c r="F74" s="2" t="s">
        <x:v>79</x:v>
      </x:c>
      <x:c r="G74" s="2" t="s">
        <x:v>80</x:v>
      </x:c>
      <x:c r="H74" s="2" t="s">
        <x:v>81</x:v>
      </x:c>
      <x:c r="I74" s="2" t="s">
        <x:v>82</x:v>
      </x:c>
      <x:c r="J74" s="2">
        <x:v>15</x:v>
      </x:c>
      <x:c r="K74" s="5">
        <x:v>57.1</x:v>
      </x:c>
      <x:c r="L74" s="2">
        <x:v>397</x:v>
      </x:c>
      <x:c r="M74" s="2" t="s">
        <x:v>83</x:v>
      </x:c>
      <x:c r="N74" s="2" t="s">
        <x:v>84</x:v>
      </x:c>
      <x:c r="O74" s="6" t="b">
        <x:v>1</x:v>
      </x:c>
      <x:c r="P74" s="2" t="n">
        <x:f>COUNTIF('模块测量'!$B$2:$B$801,A74)</x:f>
        <x:v>4</x:v>
      </x:c>
      <x:c r="Q74" s="2" t="str">
        <x:f t="shared" si="2">IF(P74=4,"PASS","CHECK")</x:f>
        <x:v>PASS</x:v>
      </x:c>
    </x:row>
    <x:row r="75" ht="15">
      <x:c r="A75" s="2" t="s">
        <x:v>158</x:v>
      </x:c>
      <x:c r="B75" s="2" t="s">
        <x:v>37</x:v>
      </x:c>
      <x:c r="C75" s="2">
        <x:v>4</x:v>
      </x:c>
      <x:c r="D75" s="4">
        <x:v>46195.385416666664</x:v>
      </x:c>
      <x:c r="E75" s="2">
        <x:v>21</x:v>
      </x:c>
      <x:c r="F75" s="2" t="s">
        <x:v>79</x:v>
      </x:c>
      <x:c r="G75" s="2" t="s">
        <x:v>80</x:v>
      </x:c>
      <x:c r="H75" s="2" t="s">
        <x:v>81</x:v>
      </x:c>
      <x:c r="I75" s="2" t="s">
        <x:v>82</x:v>
      </x:c>
      <x:c r="J75" s="2">
        <x:v>15</x:v>
      </x:c>
      <x:c r="K75" s="5">
        <x:v>55.2</x:v>
      </x:c>
      <x:c r="L75" s="2">
        <x:v>481</x:v>
      </x:c>
      <x:c r="M75" s="2" t="s">
        <x:v>83</x:v>
      </x:c>
      <x:c r="N75" s="2" t="s">
        <x:v>84</x:v>
      </x:c>
      <x:c r="O75" s="6" t="b">
        <x:v>1</x:v>
      </x:c>
      <x:c r="P75" s="2" t="n">
        <x:f>COUNTIF('模块测量'!$B$2:$B$801,A75)</x:f>
        <x:v>4</x:v>
      </x:c>
      <x:c r="Q75" s="2" t="str">
        <x:f t="shared" si="2">IF(P75=4,"PASS","CHECK")</x:f>
        <x:v>PASS</x:v>
      </x:c>
    </x:row>
    <x:row r="76" ht="15">
      <x:c r="A76" s="2" t="s">
        <x:v>159</x:v>
      </x:c>
      <x:c r="B76" s="2" t="s">
        <x:v>37</x:v>
      </x:c>
      <x:c r="C76" s="2">
        <x:v>5</x:v>
      </x:c>
      <x:c r="D76" s="4">
        <x:v>46202.385416666664</x:v>
      </x:c>
      <x:c r="E76" s="2">
        <x:v>28</x:v>
      </x:c>
      <x:c r="F76" s="2" t="s">
        <x:v>79</x:v>
      </x:c>
      <x:c r="G76" s="2" t="s">
        <x:v>80</x:v>
      </x:c>
      <x:c r="H76" s="2" t="s">
        <x:v>81</x:v>
      </x:c>
      <x:c r="I76" s="2" t="s">
        <x:v>82</x:v>
      </x:c>
      <x:c r="J76" s="2">
        <x:v>15</x:v>
      </x:c>
      <x:c r="K76" s="5">
        <x:v>59.5</x:v>
      </x:c>
      <x:c r="L76" s="2">
        <x:v>425</x:v>
      </x:c>
      <x:c r="M76" s="2" t="s">
        <x:v>83</x:v>
      </x:c>
      <x:c r="N76" s="2" t="s">
        <x:v>84</x:v>
      </x:c>
      <x:c r="O76" s="6" t="b">
        <x:v>1</x:v>
      </x:c>
      <x:c r="P76" s="2" t="n">
        <x:f>COUNTIF('模块测量'!$B$2:$B$801,A76)</x:f>
        <x:v>4</x:v>
      </x:c>
      <x:c r="Q76" s="2" t="str">
        <x:f t="shared" si="2">IF(P76=4,"PASS","CHECK")</x:f>
        <x:v>PASS</x:v>
      </x:c>
    </x:row>
    <x:row r="77" ht="15">
      <x:c r="A77" s="2" t="s">
        <x:v>160</x:v>
      </x:c>
      <x:c r="B77" s="2" t="s">
        <x:v>38</x:v>
      </x:c>
      <x:c r="C77" s="2">
        <x:v>1</x:v>
      </x:c>
      <x:c r="D77" s="4">
        <x:v>46175.386111111111</x:v>
      </x:c>
      <x:c r="E77" s="2">
        <x:v>1</x:v>
      </x:c>
      <x:c r="F77" s="2" t="s">
        <x:v>79</x:v>
      </x:c>
      <x:c r="G77" s="2" t="s">
        <x:v>80</x:v>
      </x:c>
      <x:c r="H77" s="2" t="s">
        <x:v>81</x:v>
      </x:c>
      <x:c r="I77" s="2" t="s">
        <x:v>82</x:v>
      </x:c>
      <x:c r="J77" s="2">
        <x:v>15</x:v>
      </x:c>
      <x:c r="K77" s="5">
        <x:v>59.8</x:v>
      </x:c>
      <x:c r="L77" s="2">
        <x:v>438</x:v>
      </x:c>
      <x:c r="M77" s="2" t="s">
        <x:v>83</x:v>
      </x:c>
      <x:c r="N77" s="2" t="s">
        <x:v>100</x:v>
      </x:c>
      <x:c r="O77" s="6" t="b">
        <x:v>1</x:v>
      </x:c>
      <x:c r="P77" s="2" t="n">
        <x:f>COUNTIF('模块测量'!$B$2:$B$801,A77)</x:f>
        <x:v>4</x:v>
      </x:c>
      <x:c r="Q77" s="2" t="str">
        <x:f t="shared" si="2">IF(P77=4,"PASS","CHECK")</x:f>
        <x:v>PASS</x:v>
      </x:c>
    </x:row>
    <x:row r="78" ht="15">
      <x:c r="A78" s="2" t="s">
        <x:v>161</x:v>
      </x:c>
      <x:c r="B78" s="2" t="s">
        <x:v>38</x:v>
      </x:c>
      <x:c r="C78" s="2">
        <x:v>2</x:v>
      </x:c>
      <x:c r="D78" s="4">
        <x:v>46182.386111111111</x:v>
      </x:c>
      <x:c r="E78" s="2">
        <x:v>8</x:v>
      </x:c>
      <x:c r="F78" s="2" t="s">
        <x:v>79</x:v>
      </x:c>
      <x:c r="G78" s="2" t="s">
        <x:v>80</x:v>
      </x:c>
      <x:c r="H78" s="2" t="s">
        <x:v>81</x:v>
      </x:c>
      <x:c r="I78" s="2" t="s">
        <x:v>82</x:v>
      </x:c>
      <x:c r="J78" s="2">
        <x:v>15</x:v>
      </x:c>
      <x:c r="K78" s="5">
        <x:v>60.4</x:v>
      </x:c>
      <x:c r="L78" s="2">
        <x:v>460</x:v>
      </x:c>
      <x:c r="M78" s="2" t="s">
        <x:v>83</x:v>
      </x:c>
      <x:c r="N78" s="2" t="s">
        <x:v>100</x:v>
      </x:c>
      <x:c r="O78" s="6" t="b">
        <x:v>1</x:v>
      </x:c>
      <x:c r="P78" s="2" t="n">
        <x:f>COUNTIF('模块测量'!$B$2:$B$801,A78)</x:f>
        <x:v>4</x:v>
      </x:c>
      <x:c r="Q78" s="2" t="str">
        <x:f t="shared" si="2">IF(P78=4,"PASS","CHECK")</x:f>
        <x:v>PASS</x:v>
      </x:c>
    </x:row>
    <x:row r="79" ht="15">
      <x:c r="A79" s="2" t="s">
        <x:v>162</x:v>
      </x:c>
      <x:c r="B79" s="2" t="s">
        <x:v>38</x:v>
      </x:c>
      <x:c r="C79" s="2">
        <x:v>3</x:v>
      </x:c>
      <x:c r="D79" s="4">
        <x:v>46189.386111111111</x:v>
      </x:c>
      <x:c r="E79" s="2">
        <x:v>15</x:v>
      </x:c>
      <x:c r="F79" s="2" t="s">
        <x:v>79</x:v>
      </x:c>
      <x:c r="G79" s="2" t="s">
        <x:v>80</x:v>
      </x:c>
      <x:c r="H79" s="2" t="s">
        <x:v>81</x:v>
      </x:c>
      <x:c r="I79" s="2" t="s">
        <x:v>82</x:v>
      </x:c>
      <x:c r="J79" s="2">
        <x:v>15</x:v>
      </x:c>
      <x:c r="K79" s="5">
        <x:v>59.2</x:v>
      </x:c>
      <x:c r="L79" s="2">
        <x:v>490</x:v>
      </x:c>
      <x:c r="M79" s="2" t="s">
        <x:v>83</x:v>
      </x:c>
      <x:c r="N79" s="2" t="s">
        <x:v>100</x:v>
      </x:c>
      <x:c r="O79" s="6" t="b">
        <x:v>1</x:v>
      </x:c>
      <x:c r="P79" s="2" t="n">
        <x:f>COUNTIF('模块测量'!$B$2:$B$801,A79)</x:f>
        <x:v>4</x:v>
      </x:c>
      <x:c r="Q79" s="2" t="str">
        <x:f t="shared" si="2">IF(P79=4,"PASS","CHECK")</x:f>
        <x:v>PASS</x:v>
      </x:c>
    </x:row>
    <x:row r="80" ht="15">
      <x:c r="A80" s="2" t="s">
        <x:v>163</x:v>
      </x:c>
      <x:c r="B80" s="2" t="s">
        <x:v>38</x:v>
      </x:c>
      <x:c r="C80" s="2">
        <x:v>4</x:v>
      </x:c>
      <x:c r="D80" s="4">
        <x:v>46196.386111111111</x:v>
      </x:c>
      <x:c r="E80" s="2">
        <x:v>22</x:v>
      </x:c>
      <x:c r="F80" s="2" t="s">
        <x:v>79</x:v>
      </x:c>
      <x:c r="G80" s="2" t="s">
        <x:v>80</x:v>
      </x:c>
      <x:c r="H80" s="2" t="s">
        <x:v>81</x:v>
      </x:c>
      <x:c r="I80" s="2" t="s">
        <x:v>82</x:v>
      </x:c>
      <x:c r="J80" s="2">
        <x:v>15</x:v>
      </x:c>
      <x:c r="K80" s="5">
        <x:v>60.9</x:v>
      </x:c>
      <x:c r="L80" s="2">
        <x:v>427</x:v>
      </x:c>
      <x:c r="M80" s="2" t="s">
        <x:v>83</x:v>
      </x:c>
      <x:c r="N80" s="2" t="s">
        <x:v>100</x:v>
      </x:c>
      <x:c r="O80" s="6" t="b">
        <x:v>1</x:v>
      </x:c>
      <x:c r="P80" s="2" t="n">
        <x:f>COUNTIF('模块测量'!$B$2:$B$801,A80)</x:f>
        <x:v>4</x:v>
      </x:c>
      <x:c r="Q80" s="2" t="str">
        <x:f t="shared" si="2">IF(P80=4,"PASS","CHECK")</x:f>
        <x:v>PASS</x:v>
      </x:c>
    </x:row>
    <x:row r="81" ht="15">
      <x:c r="A81" s="2" t="s">
        <x:v>164</x:v>
      </x:c>
      <x:c r="B81" s="2" t="s">
        <x:v>38</x:v>
      </x:c>
      <x:c r="C81" s="2">
        <x:v>5</x:v>
      </x:c>
      <x:c r="D81" s="4">
        <x:v>46203.386111111111</x:v>
      </x:c>
      <x:c r="E81" s="2">
        <x:v>29</x:v>
      </x:c>
      <x:c r="F81" s="2" t="s">
        <x:v>79</x:v>
      </x:c>
      <x:c r="G81" s="2" t="s">
        <x:v>80</x:v>
      </x:c>
      <x:c r="H81" s="2" t="s">
        <x:v>81</x:v>
      </x:c>
      <x:c r="I81" s="2" t="s">
        <x:v>82</x:v>
      </x:c>
      <x:c r="J81" s="2">
        <x:v>15</x:v>
      </x:c>
      <x:c r="K81" s="5">
        <x:v>55.2</x:v>
      </x:c>
      <x:c r="L81" s="2">
        <x:v>387</x:v>
      </x:c>
      <x:c r="M81" s="2" t="s">
        <x:v>83</x:v>
      </x:c>
      <x:c r="N81" s="2" t="s">
        <x:v>100</x:v>
      </x:c>
      <x:c r="O81" s="6" t="b">
        <x:v>1</x:v>
      </x:c>
      <x:c r="P81" s="2" t="n">
        <x:f>COUNTIF('模块测量'!$B$2:$B$801,A81)</x:f>
        <x:v>4</x:v>
      </x:c>
      <x:c r="Q81" s="2" t="str">
        <x:f t="shared" si="2">IF(P81=4,"PASS","CHECK")</x:f>
        <x:v>PASS</x:v>
      </x:c>
    </x:row>
    <x:row r="82" ht="15">
      <x:c r="A82" s="2" t="s">
        <x:v>165</x:v>
      </x:c>
      <x:c r="B82" s="2" t="s">
        <x:v>39</x:v>
      </x:c>
      <x:c r="C82" s="2">
        <x:v>1</x:v>
      </x:c>
      <x:c r="D82" s="4">
        <x:v>46176.386805555558</x:v>
      </x:c>
      <x:c r="E82" s="2">
        <x:v>2</x:v>
      </x:c>
      <x:c r="F82" s="2" t="s">
        <x:v>79</x:v>
      </x:c>
      <x:c r="G82" s="2" t="s">
        <x:v>80</x:v>
      </x:c>
      <x:c r="H82" s="2" t="s">
        <x:v>81</x:v>
      </x:c>
      <x:c r="I82" s="2" t="s">
        <x:v>82</x:v>
      </x:c>
      <x:c r="J82" s="2">
        <x:v>15</x:v>
      </x:c>
      <x:c r="K82" s="5">
        <x:v>63.3</x:v>
      </x:c>
      <x:c r="L82" s="2">
        <x:v>445</x:v>
      </x:c>
      <x:c r="M82" s="2" t="s">
        <x:v>83</x:v>
      </x:c>
      <x:c r="N82" s="2" t="s">
        <x:v>84</x:v>
      </x:c>
      <x:c r="O82" s="6" t="b">
        <x:v>1</x:v>
      </x:c>
      <x:c r="P82" s="2" t="n">
        <x:f>COUNTIF('模块测量'!$B$2:$B$801,A82)</x:f>
        <x:v>4</x:v>
      </x:c>
      <x:c r="Q82" s="2" t="str">
        <x:f t="shared" si="2">IF(P82=4,"PASS","CHECK")</x:f>
        <x:v>PASS</x:v>
      </x:c>
    </x:row>
    <x:row r="83" ht="15">
      <x:c r="A83" s="2" t="s">
        <x:v>166</x:v>
      </x:c>
      <x:c r="B83" s="2" t="s">
        <x:v>39</x:v>
      </x:c>
      <x:c r="C83" s="2">
        <x:v>2</x:v>
      </x:c>
      <x:c r="D83" s="4">
        <x:v>46183.386805555558</x:v>
      </x:c>
      <x:c r="E83" s="2">
        <x:v>9</x:v>
      </x:c>
      <x:c r="F83" s="2" t="s">
        <x:v>79</x:v>
      </x:c>
      <x:c r="G83" s="2" t="s">
        <x:v>80</x:v>
      </x:c>
      <x:c r="H83" s="2" t="s">
        <x:v>81</x:v>
      </x:c>
      <x:c r="I83" s="2" t="s">
        <x:v>82</x:v>
      </x:c>
      <x:c r="J83" s="2">
        <x:v>15</x:v>
      </x:c>
      <x:c r="K83" s="5">
        <x:v>52</x:v>
      </x:c>
      <x:c r="L83" s="2">
        <x:v>399</x:v>
      </x:c>
      <x:c r="M83" s="2" t="s">
        <x:v>83</x:v>
      </x:c>
      <x:c r="N83" s="2" t="s">
        <x:v>84</x:v>
      </x:c>
      <x:c r="O83" s="6" t="b">
        <x:v>1</x:v>
      </x:c>
      <x:c r="P83" s="2" t="n">
        <x:f>COUNTIF('模块测量'!$B$2:$B$801,A83)</x:f>
        <x:v>4</x:v>
      </x:c>
      <x:c r="Q83" s="2" t="str">
        <x:f t="shared" si="2">IF(P83=4,"PASS","CHECK")</x:f>
        <x:v>PASS</x:v>
      </x:c>
    </x:row>
    <x:row r="84" ht="15">
      <x:c r="A84" s="2" t="s">
        <x:v>167</x:v>
      </x:c>
      <x:c r="B84" s="2" t="s">
        <x:v>39</x:v>
      </x:c>
      <x:c r="C84" s="2">
        <x:v>3</x:v>
      </x:c>
      <x:c r="D84" s="4">
        <x:v>46190.386805555558</x:v>
      </x:c>
      <x:c r="E84" s="2">
        <x:v>16</x:v>
      </x:c>
      <x:c r="F84" s="2" t="s">
        <x:v>79</x:v>
      </x:c>
      <x:c r="G84" s="2" t="s">
        <x:v>80</x:v>
      </x:c>
      <x:c r="H84" s="2" t="s">
        <x:v>81</x:v>
      </x:c>
      <x:c r="I84" s="2" t="s">
        <x:v>82</x:v>
      </x:c>
      <x:c r="J84" s="2">
        <x:v>15</x:v>
      </x:c>
      <x:c r="K84" s="5">
        <x:v>61.6</x:v>
      </x:c>
      <x:c r="L84" s="2">
        <x:v>448</x:v>
      </x:c>
      <x:c r="M84" s="2" t="s">
        <x:v>83</x:v>
      </x:c>
      <x:c r="N84" s="2" t="s">
        <x:v>84</x:v>
      </x:c>
      <x:c r="O84" s="6" t="b">
        <x:v>1</x:v>
      </x:c>
      <x:c r="P84" s="2" t="n">
        <x:f>COUNTIF('模块测量'!$B$2:$B$801,A84)</x:f>
        <x:v>4</x:v>
      </x:c>
      <x:c r="Q84" s="2" t="str">
        <x:f t="shared" si="2">IF(P84=4,"PASS","CHECK")</x:f>
        <x:v>PASS</x:v>
      </x:c>
    </x:row>
    <x:row r="85" ht="15">
      <x:c r="A85" s="2" t="s">
        <x:v>168</x:v>
      </x:c>
      <x:c r="B85" s="2" t="s">
        <x:v>39</x:v>
      </x:c>
      <x:c r="C85" s="2">
        <x:v>4</x:v>
      </x:c>
      <x:c r="D85" s="4">
        <x:v>46197.386805555558</x:v>
      </x:c>
      <x:c r="E85" s="2">
        <x:v>23</x:v>
      </x:c>
      <x:c r="F85" s="2" t="s">
        <x:v>79</x:v>
      </x:c>
      <x:c r="G85" s="2" t="s">
        <x:v>80</x:v>
      </x:c>
      <x:c r="H85" s="2" t="s">
        <x:v>81</x:v>
      </x:c>
      <x:c r="I85" s="2" t="s">
        <x:v>82</x:v>
      </x:c>
      <x:c r="J85" s="2">
        <x:v>15</x:v>
      </x:c>
      <x:c r="K85" s="5">
        <x:v>60.8</x:v>
      </x:c>
      <x:c r="L85" s="2">
        <x:v>414</x:v>
      </x:c>
      <x:c r="M85" s="2" t="s">
        <x:v>83</x:v>
      </x:c>
      <x:c r="N85" s="2" t="s">
        <x:v>84</x:v>
      </x:c>
      <x:c r="O85" s="6" t="b">
        <x:v>1</x:v>
      </x:c>
      <x:c r="P85" s="2" t="n">
        <x:f>COUNTIF('模块测量'!$B$2:$B$801,A85)</x:f>
        <x:v>4</x:v>
      </x:c>
      <x:c r="Q85" s="2" t="str">
        <x:f t="shared" si="2">IF(P85=4,"PASS","CHECK")</x:f>
        <x:v>PASS</x:v>
      </x:c>
    </x:row>
    <x:row r="86" ht="15">
      <x:c r="A86" s="2" t="s">
        <x:v>169</x:v>
      </x:c>
      <x:c r="B86" s="2" t="s">
        <x:v>39</x:v>
      </x:c>
      <x:c r="C86" s="2">
        <x:v>5</x:v>
      </x:c>
      <x:c r="D86" s="4">
        <x:v>46204.386805555558</x:v>
      </x:c>
      <x:c r="E86" s="2">
        <x:v>30</x:v>
      </x:c>
      <x:c r="F86" s="2" t="s">
        <x:v>79</x:v>
      </x:c>
      <x:c r="G86" s="2" t="s">
        <x:v>80</x:v>
      </x:c>
      <x:c r="H86" s="2" t="s">
        <x:v>81</x:v>
      </x:c>
      <x:c r="I86" s="2" t="s">
        <x:v>82</x:v>
      </x:c>
      <x:c r="J86" s="2">
        <x:v>15</x:v>
      </x:c>
      <x:c r="K86" s="5">
        <x:v>60.7</x:v>
      </x:c>
      <x:c r="L86" s="2">
        <x:v>366</x:v>
      </x:c>
      <x:c r="M86" s="2" t="s">
        <x:v>83</x:v>
      </x:c>
      <x:c r="N86" s="2" t="s">
        <x:v>84</x:v>
      </x:c>
      <x:c r="O86" s="6" t="b">
        <x:v>1</x:v>
      </x:c>
      <x:c r="P86" s="2" t="n">
        <x:f>COUNTIF('模块测量'!$B$2:$B$801,A86)</x:f>
        <x:v>4</x:v>
      </x:c>
      <x:c r="Q86" s="2" t="str">
        <x:f t="shared" si="2">IF(P86=4,"PASS","CHECK")</x:f>
        <x:v>PASS</x:v>
      </x:c>
    </x:row>
    <x:row r="87" ht="15">
      <x:c r="A87" s="2" t="s">
        <x:v>170</x:v>
      </x:c>
      <x:c r="B87" s="2" t="s">
        <x:v>40</x:v>
      </x:c>
      <x:c r="C87" s="2">
        <x:v>1</x:v>
      </x:c>
      <x:c r="D87" s="4">
        <x:v>46177.387499999997</x:v>
      </x:c>
      <x:c r="E87" s="2">
        <x:v>3</x:v>
      </x:c>
      <x:c r="F87" s="2" t="s">
        <x:v>79</x:v>
      </x:c>
      <x:c r="G87" s="2" t="s">
        <x:v>80</x:v>
      </x:c>
      <x:c r="H87" s="2" t="s">
        <x:v>81</x:v>
      </x:c>
      <x:c r="I87" s="2" t="s">
        <x:v>82</x:v>
      </x:c>
      <x:c r="J87" s="2">
        <x:v>15</x:v>
      </x:c>
      <x:c r="K87" s="5">
        <x:v>52.5</x:v>
      </x:c>
      <x:c r="L87" s="2">
        <x:v>316</x:v>
      </x:c>
      <x:c r="M87" s="2" t="s">
        <x:v>83</x:v>
      </x:c>
      <x:c r="N87" s="2" t="s">
        <x:v>84</x:v>
      </x:c>
      <x:c r="O87" s="6" t="b">
        <x:v>1</x:v>
      </x:c>
      <x:c r="P87" s="2" t="n">
        <x:f>COUNTIF('模块测量'!$B$2:$B$801,A87)</x:f>
        <x:v>4</x:v>
      </x:c>
      <x:c r="Q87" s="2" t="str">
        <x:f t="shared" si="2">IF(P87=4,"PASS","CHECK")</x:f>
        <x:v>PASS</x:v>
      </x:c>
    </x:row>
    <x:row r="88" ht="15">
      <x:c r="A88" s="2" t="s">
        <x:v>171</x:v>
      </x:c>
      <x:c r="B88" s="2" t="s">
        <x:v>40</x:v>
      </x:c>
      <x:c r="C88" s="2">
        <x:v>2</x:v>
      </x:c>
      <x:c r="D88" s="4">
        <x:v>46184.387499999997</x:v>
      </x:c>
      <x:c r="E88" s="2">
        <x:v>10</x:v>
      </x:c>
      <x:c r="F88" s="2" t="s">
        <x:v>79</x:v>
      </x:c>
      <x:c r="G88" s="2" t="s">
        <x:v>80</x:v>
      </x:c>
      <x:c r="H88" s="2" t="s">
        <x:v>81</x:v>
      </x:c>
      <x:c r="I88" s="2" t="s">
        <x:v>82</x:v>
      </x:c>
      <x:c r="J88" s="2">
        <x:v>15</x:v>
      </x:c>
      <x:c r="K88" s="5">
        <x:v>54</x:v>
      </x:c>
      <x:c r="L88" s="2">
        <x:v>327</x:v>
      </x:c>
      <x:c r="M88" s="2" t="s">
        <x:v>83</x:v>
      </x:c>
      <x:c r="N88" s="2" t="s">
        <x:v>84</x:v>
      </x:c>
      <x:c r="O88" s="6" t="b">
        <x:v>1</x:v>
      </x:c>
      <x:c r="P88" s="2" t="n">
        <x:f>COUNTIF('模块测量'!$B$2:$B$801,A88)</x:f>
        <x:v>4</x:v>
      </x:c>
      <x:c r="Q88" s="2" t="str">
        <x:f t="shared" si="2">IF(P88=4,"PASS","CHECK")</x:f>
        <x:v>PASS</x:v>
      </x:c>
    </x:row>
    <x:row r="89" ht="15">
      <x:c r="A89" s="2" t="s">
        <x:v>172</x:v>
      </x:c>
      <x:c r="B89" s="2" t="s">
        <x:v>40</x:v>
      </x:c>
      <x:c r="C89" s="2">
        <x:v>3</x:v>
      </x:c>
      <x:c r="D89" s="4">
        <x:v>46191.387499999997</x:v>
      </x:c>
      <x:c r="E89" s="2">
        <x:v>17</x:v>
      </x:c>
      <x:c r="F89" s="2" t="s">
        <x:v>79</x:v>
      </x:c>
      <x:c r="G89" s="2" t="s">
        <x:v>80</x:v>
      </x:c>
      <x:c r="H89" s="2" t="s">
        <x:v>81</x:v>
      </x:c>
      <x:c r="I89" s="2" t="s">
        <x:v>82</x:v>
      </x:c>
      <x:c r="J89" s="2">
        <x:v>15</x:v>
      </x:c>
      <x:c r="K89" s="5">
        <x:v>57.7</x:v>
      </x:c>
      <x:c r="L89" s="2">
        <x:v>499</x:v>
      </x:c>
      <x:c r="M89" s="2" t="s">
        <x:v>83</x:v>
      </x:c>
      <x:c r="N89" s="2" t="s">
        <x:v>84</x:v>
      </x:c>
      <x:c r="O89" s="6" t="b">
        <x:v>1</x:v>
      </x:c>
      <x:c r="P89" s="2" t="n">
        <x:f>COUNTIF('模块测量'!$B$2:$B$801,A89)</x:f>
        <x:v>4</x:v>
      </x:c>
      <x:c r="Q89" s="2" t="str">
        <x:f t="shared" si="2">IF(P89=4,"PASS","CHECK")</x:f>
        <x:v>PASS</x:v>
      </x:c>
    </x:row>
    <x:row r="90" ht="15">
      <x:c r="A90" s="2" t="s">
        <x:v>173</x:v>
      </x:c>
      <x:c r="B90" s="2" t="s">
        <x:v>40</x:v>
      </x:c>
      <x:c r="C90" s="2">
        <x:v>4</x:v>
      </x:c>
      <x:c r="D90" s="4">
        <x:v>46198.387499999997</x:v>
      </x:c>
      <x:c r="E90" s="2">
        <x:v>24</x:v>
      </x:c>
      <x:c r="F90" s="2" t="s">
        <x:v>79</x:v>
      </x:c>
      <x:c r="G90" s="2" t="s">
        <x:v>80</x:v>
      </x:c>
      <x:c r="H90" s="2" t="s">
        <x:v>81</x:v>
      </x:c>
      <x:c r="I90" s="2" t="s">
        <x:v>82</x:v>
      </x:c>
      <x:c r="J90" s="2">
        <x:v>15</x:v>
      </x:c>
      <x:c r="K90" s="5">
        <x:v>58.6</x:v>
      </x:c>
      <x:c r="L90" s="2">
        <x:v>537</x:v>
      </x:c>
      <x:c r="M90" s="2" t="s">
        <x:v>83</x:v>
      </x:c>
      <x:c r="N90" s="2" t="s">
        <x:v>84</x:v>
      </x:c>
      <x:c r="O90" s="6" t="b">
        <x:v>1</x:v>
      </x:c>
      <x:c r="P90" s="2" t="n">
        <x:f>COUNTIF('模块测量'!$B$2:$B$801,A90)</x:f>
        <x:v>4</x:v>
      </x:c>
      <x:c r="Q90" s="2" t="str">
        <x:f t="shared" si="2">IF(P90=4,"PASS","CHECK")</x:f>
        <x:v>PASS</x:v>
      </x:c>
    </x:row>
    <x:row r="91" ht="15">
      <x:c r="A91" s="2" t="s">
        <x:v>174</x:v>
      </x:c>
      <x:c r="B91" s="2" t="s">
        <x:v>40</x:v>
      </x:c>
      <x:c r="C91" s="2">
        <x:v>5</x:v>
      </x:c>
      <x:c r="D91" s="4">
        <x:v>46205.387499999997</x:v>
      </x:c>
      <x:c r="E91" s="2">
        <x:v>31</x:v>
      </x:c>
      <x:c r="F91" s="2" t="s">
        <x:v>79</x:v>
      </x:c>
      <x:c r="G91" s="2" t="s">
        <x:v>80</x:v>
      </x:c>
      <x:c r="H91" s="2" t="s">
        <x:v>81</x:v>
      </x:c>
      <x:c r="I91" s="2" t="s">
        <x:v>82</x:v>
      </x:c>
      <x:c r="J91" s="2">
        <x:v>15</x:v>
      </x:c>
      <x:c r="K91" s="5">
        <x:v>57.8</x:v>
      </x:c>
      <x:c r="L91" s="2">
        <x:v>280</x:v>
      </x:c>
      <x:c r="M91" s="2" t="s">
        <x:v>83</x:v>
      </x:c>
      <x:c r="N91" s="2" t="s">
        <x:v>84</x:v>
      </x:c>
      <x:c r="O91" s="6" t="b">
        <x:v>1</x:v>
      </x:c>
      <x:c r="P91" s="2" t="n">
        <x:f>COUNTIF('模块测量'!$B$2:$B$801,A91)</x:f>
        <x:v>4</x:v>
      </x:c>
      <x:c r="Q91" s="2" t="str">
        <x:f t="shared" si="2">IF(P91=4,"PASS","CHECK")</x:f>
        <x:v>PASS</x:v>
      </x:c>
    </x:row>
    <x:row r="92" ht="15">
      <x:c r="A92" s="2" t="s">
        <x:v>175</x:v>
      </x:c>
      <x:c r="B92" s="2" t="s">
        <x:v>41</x:v>
      </x:c>
      <x:c r="C92" s="2">
        <x:v>1</x:v>
      </x:c>
      <x:c r="D92" s="4">
        <x:v>46178.388194444444</x:v>
      </x:c>
      <x:c r="E92" s="2">
        <x:v>4</x:v>
      </x:c>
      <x:c r="F92" s="2" t="s">
        <x:v>79</x:v>
      </x:c>
      <x:c r="G92" s="2" t="s">
        <x:v>80</x:v>
      </x:c>
      <x:c r="H92" s="2" t="s">
        <x:v>81</x:v>
      </x:c>
      <x:c r="I92" s="2" t="s">
        <x:v>82</x:v>
      </x:c>
      <x:c r="J92" s="2">
        <x:v>15</x:v>
      </x:c>
      <x:c r="K92" s="5">
        <x:v>61.1</x:v>
      </x:c>
      <x:c r="L92" s="2">
        <x:v>618</x:v>
      </x:c>
      <x:c r="M92" s="2" t="s">
        <x:v>83</x:v>
      </x:c>
      <x:c r="N92" s="2" t="s">
        <x:v>84</x:v>
      </x:c>
      <x:c r="O92" s="6" t="b">
        <x:v>1</x:v>
      </x:c>
      <x:c r="P92" s="2" t="n">
        <x:f>COUNTIF('模块测量'!$B$2:$B$801,A92)</x:f>
        <x:v>4</x:v>
      </x:c>
      <x:c r="Q92" s="2" t="str">
        <x:f t="shared" si="2">IF(P92=4,"PASS","CHECK")</x:f>
        <x:v>PASS</x:v>
      </x:c>
    </x:row>
    <x:row r="93" ht="15">
      <x:c r="A93" s="2" t="s">
        <x:v>176</x:v>
      </x:c>
      <x:c r="B93" s="2" t="s">
        <x:v>41</x:v>
      </x:c>
      <x:c r="C93" s="2">
        <x:v>2</x:v>
      </x:c>
      <x:c r="D93" s="4">
        <x:v>46185.388194444444</x:v>
      </x:c>
      <x:c r="E93" s="2">
        <x:v>11</x:v>
      </x:c>
      <x:c r="F93" s="2" t="s">
        <x:v>79</x:v>
      </x:c>
      <x:c r="G93" s="2" t="s">
        <x:v>80</x:v>
      </x:c>
      <x:c r="H93" s="2" t="s">
        <x:v>81</x:v>
      </x:c>
      <x:c r="I93" s="2" t="s">
        <x:v>82</x:v>
      </x:c>
      <x:c r="J93" s="2">
        <x:v>15</x:v>
      </x:c>
      <x:c r="K93" s="5">
        <x:v>55.2</x:v>
      </x:c>
      <x:c r="L93" s="2">
        <x:v>432</x:v>
      </x:c>
      <x:c r="M93" s="2" t="s">
        <x:v>83</x:v>
      </x:c>
      <x:c r="N93" s="2" t="s">
        <x:v>84</x:v>
      </x:c>
      <x:c r="O93" s="6" t="b">
        <x:v>1</x:v>
      </x:c>
      <x:c r="P93" s="2" t="n">
        <x:f>COUNTIF('模块测量'!$B$2:$B$801,A93)</x:f>
        <x:v>4</x:v>
      </x:c>
      <x:c r="Q93" s="2" t="str">
        <x:f t="shared" si="2">IF(P93=4,"PASS","CHECK")</x:f>
        <x:v>PASS</x:v>
      </x:c>
    </x:row>
    <x:row r="94" ht="15">
      <x:c r="A94" s="2" t="s">
        <x:v>177</x:v>
      </x:c>
      <x:c r="B94" s="2" t="s">
        <x:v>41</x:v>
      </x:c>
      <x:c r="C94" s="2">
        <x:v>3</x:v>
      </x:c>
      <x:c r="D94" s="4">
        <x:v>46192.388194444444</x:v>
      </x:c>
      <x:c r="E94" s="2">
        <x:v>18</x:v>
      </x:c>
      <x:c r="F94" s="2" t="s">
        <x:v>79</x:v>
      </x:c>
      <x:c r="G94" s="2" t="s">
        <x:v>80</x:v>
      </x:c>
      <x:c r="H94" s="2" t="s">
        <x:v>81</x:v>
      </x:c>
      <x:c r="I94" s="2" t="s">
        <x:v>82</x:v>
      </x:c>
      <x:c r="J94" s="2">
        <x:v>15</x:v>
      </x:c>
      <x:c r="K94" s="5">
        <x:v>59.7</x:v>
      </x:c>
      <x:c r="L94" s="2">
        <x:v>492</x:v>
      </x:c>
      <x:c r="M94" s="2" t="s">
        <x:v>83</x:v>
      </x:c>
      <x:c r="N94" s="2" t="s">
        <x:v>84</x:v>
      </x:c>
      <x:c r="O94" s="6" t="b">
        <x:v>1</x:v>
      </x:c>
      <x:c r="P94" s="2" t="n">
        <x:f>COUNTIF('模块测量'!$B$2:$B$801,A94)</x:f>
        <x:v>4</x:v>
      </x:c>
      <x:c r="Q94" s="2" t="str">
        <x:f t="shared" si="2">IF(P94=4,"PASS","CHECK")</x:f>
        <x:v>PASS</x:v>
      </x:c>
    </x:row>
    <x:row r="95" ht="15">
      <x:c r="A95" s="2" t="s">
        <x:v>178</x:v>
      </x:c>
      <x:c r="B95" s="2" t="s">
        <x:v>41</x:v>
      </x:c>
      <x:c r="C95" s="2">
        <x:v>4</x:v>
      </x:c>
      <x:c r="D95" s="4">
        <x:v>46199.388194444444</x:v>
      </x:c>
      <x:c r="E95" s="2">
        <x:v>25</x:v>
      </x:c>
      <x:c r="F95" s="2" t="s">
        <x:v>79</x:v>
      </x:c>
      <x:c r="G95" s="2" t="s">
        <x:v>80</x:v>
      </x:c>
      <x:c r="H95" s="2" t="s">
        <x:v>81</x:v>
      </x:c>
      <x:c r="I95" s="2" t="s">
        <x:v>82</x:v>
      </x:c>
      <x:c r="J95" s="2">
        <x:v>15</x:v>
      </x:c>
      <x:c r="K95" s="5">
        <x:v>63</x:v>
      </x:c>
      <x:c r="L95" s="2">
        <x:v>392</x:v>
      </x:c>
      <x:c r="M95" s="2" t="s">
        <x:v>83</x:v>
      </x:c>
      <x:c r="N95" s="2" t="s">
        <x:v>84</x:v>
      </x:c>
      <x:c r="O95" s="6" t="b">
        <x:v>1</x:v>
      </x:c>
      <x:c r="P95" s="2" t="n">
        <x:f>COUNTIF('模块测量'!$B$2:$B$801,A95)</x:f>
        <x:v>4</x:v>
      </x:c>
      <x:c r="Q95" s="2" t="str">
        <x:f t="shared" si="2">IF(P95=4,"PASS","CHECK")</x:f>
        <x:v>PASS</x:v>
      </x:c>
    </x:row>
    <x:row r="96" ht="15">
      <x:c r="A96" s="2" t="s">
        <x:v>179</x:v>
      </x:c>
      <x:c r="B96" s="2" t="s">
        <x:v>41</x:v>
      </x:c>
      <x:c r="C96" s="2">
        <x:v>5</x:v>
      </x:c>
      <x:c r="D96" s="4">
        <x:v>46206.388194444444</x:v>
      </x:c>
      <x:c r="E96" s="2">
        <x:v>32</x:v>
      </x:c>
      <x:c r="F96" s="2" t="s">
        <x:v>79</x:v>
      </x:c>
      <x:c r="G96" s="2" t="s">
        <x:v>80</x:v>
      </x:c>
      <x:c r="H96" s="2" t="s">
        <x:v>81</x:v>
      </x:c>
      <x:c r="I96" s="2" t="s">
        <x:v>82</x:v>
      </x:c>
      <x:c r="J96" s="2">
        <x:v>15</x:v>
      </x:c>
      <x:c r="K96" s="5">
        <x:v>60.9</x:v>
      </x:c>
      <x:c r="L96" s="2">
        <x:v>467</x:v>
      </x:c>
      <x:c r="M96" s="2" t="s">
        <x:v>83</x:v>
      </x:c>
      <x:c r="N96" s="2" t="s">
        <x:v>84</x:v>
      </x:c>
      <x:c r="O96" s="6" t="b">
        <x:v>1</x:v>
      </x:c>
      <x:c r="P96" s="2" t="n">
        <x:f>COUNTIF('模块测量'!$B$2:$B$801,A96)</x:f>
        <x:v>4</x:v>
      </x:c>
      <x:c r="Q96" s="2" t="str">
        <x:f t="shared" si="2">IF(P96=4,"PASS","CHECK")</x:f>
        <x:v>PASS</x:v>
      </x:c>
    </x:row>
    <x:row r="97" ht="15">
      <x:c r="A97" s="2" t="s">
        <x:v>180</x:v>
      </x:c>
      <x:c r="B97" s="2" t="s">
        <x:v>42</x:v>
      </x:c>
      <x:c r="C97" s="2">
        <x:v>1</x:v>
      </x:c>
      <x:c r="D97" s="4">
        <x:v>46179.388888888891</x:v>
      </x:c>
      <x:c r="E97" s="2">
        <x:v>5</x:v>
      </x:c>
      <x:c r="F97" s="2" t="s">
        <x:v>79</x:v>
      </x:c>
      <x:c r="G97" s="2" t="s">
        <x:v>80</x:v>
      </x:c>
      <x:c r="H97" s="2" t="s">
        <x:v>81</x:v>
      </x:c>
      <x:c r="I97" s="2" t="s">
        <x:v>82</x:v>
      </x:c>
      <x:c r="J97" s="2">
        <x:v>15</x:v>
      </x:c>
      <x:c r="K97" s="5">
        <x:v>63.8</x:v>
      </x:c>
      <x:c r="L97" s="2">
        <x:v>355</x:v>
      </x:c>
      <x:c r="M97" s="2" t="s">
        <x:v>83</x:v>
      </x:c>
      <x:c r="N97" s="2" t="s">
        <x:v>100</x:v>
      </x:c>
      <x:c r="O97" s="6" t="b">
        <x:v>1</x:v>
      </x:c>
      <x:c r="P97" s="2" t="n">
        <x:f>COUNTIF('模块测量'!$B$2:$B$801,A97)</x:f>
        <x:v>4</x:v>
      </x:c>
      <x:c r="Q97" s="2" t="str">
        <x:f t="shared" si="2">IF(P97=4,"PASS","CHECK")</x:f>
        <x:v>PASS</x:v>
      </x:c>
    </x:row>
    <x:row r="98" ht="15">
      <x:c r="A98" s="2" t="s">
        <x:v>181</x:v>
      </x:c>
      <x:c r="B98" s="2" t="s">
        <x:v>42</x:v>
      </x:c>
      <x:c r="C98" s="2">
        <x:v>2</x:v>
      </x:c>
      <x:c r="D98" s="4">
        <x:v>46186.388888888891</x:v>
      </x:c>
      <x:c r="E98" s="2">
        <x:v>12</x:v>
      </x:c>
      <x:c r="F98" s="2" t="s">
        <x:v>79</x:v>
      </x:c>
      <x:c r="G98" s="2" t="s">
        <x:v>80</x:v>
      </x:c>
      <x:c r="H98" s="2" t="s">
        <x:v>81</x:v>
      </x:c>
      <x:c r="I98" s="2" t="s">
        <x:v>82</x:v>
      </x:c>
      <x:c r="J98" s="2">
        <x:v>15</x:v>
      </x:c>
      <x:c r="K98" s="5">
        <x:v>58.1</x:v>
      </x:c>
      <x:c r="L98" s="2">
        <x:v>561</x:v>
      </x:c>
      <x:c r="M98" s="2" t="s">
        <x:v>83</x:v>
      </x:c>
      <x:c r="N98" s="2" t="s">
        <x:v>100</x:v>
      </x:c>
      <x:c r="O98" s="6" t="b">
        <x:v>1</x:v>
      </x:c>
      <x:c r="P98" s="2" t="n">
        <x:f>COUNTIF('模块测量'!$B$2:$B$801,A98)</x:f>
        <x:v>4</x:v>
      </x:c>
      <x:c r="Q98" s="2" t="str">
        <x:f t="shared" ref="Q98:Q129" si="3">IF(P98=4,"PASS","CHECK")</x:f>
        <x:v>PASS</x:v>
      </x:c>
    </x:row>
    <x:row r="99" ht="15">
      <x:c r="A99" s="2" t="s">
        <x:v>182</x:v>
      </x:c>
      <x:c r="B99" s="2" t="s">
        <x:v>42</x:v>
      </x:c>
      <x:c r="C99" s="2">
        <x:v>3</x:v>
      </x:c>
      <x:c r="D99" s="4">
        <x:v>46193.388888888891</x:v>
      </x:c>
      <x:c r="E99" s="2">
        <x:v>19</x:v>
      </x:c>
      <x:c r="F99" s="2" t="s">
        <x:v>79</x:v>
      </x:c>
      <x:c r="G99" s="2" t="s">
        <x:v>80</x:v>
      </x:c>
      <x:c r="H99" s="2" t="s">
        <x:v>81</x:v>
      </x:c>
      <x:c r="I99" s="2" t="s">
        <x:v>82</x:v>
      </x:c>
      <x:c r="J99" s="2">
        <x:v>15</x:v>
      </x:c>
      <x:c r="K99" s="5">
        <x:v>57.2</x:v>
      </x:c>
      <x:c r="L99" s="2">
        <x:v>293</x:v>
      </x:c>
      <x:c r="M99" s="2" t="s">
        <x:v>83</x:v>
      </x:c>
      <x:c r="N99" s="2" t="s">
        <x:v>100</x:v>
      </x:c>
      <x:c r="O99" s="6" t="b">
        <x:v>1</x:v>
      </x:c>
      <x:c r="P99" s="2" t="n">
        <x:f>COUNTIF('模块测量'!$B$2:$B$801,A99)</x:f>
        <x:v>4</x:v>
      </x:c>
      <x:c r="Q99" s="2" t="str">
        <x:f t="shared" si="3">IF(P99=4,"PASS","CHECK")</x:f>
        <x:v>PASS</x:v>
      </x:c>
    </x:row>
    <x:row r="100" ht="15">
      <x:c r="A100" s="2" t="s">
        <x:v>183</x:v>
      </x:c>
      <x:c r="B100" s="2" t="s">
        <x:v>42</x:v>
      </x:c>
      <x:c r="C100" s="2">
        <x:v>4</x:v>
      </x:c>
      <x:c r="D100" s="4">
        <x:v>46200.388888888891</x:v>
      </x:c>
      <x:c r="E100" s="2">
        <x:v>26</x:v>
      </x:c>
      <x:c r="F100" s="2" t="s">
        <x:v>79</x:v>
      </x:c>
      <x:c r="G100" s="2" t="s">
        <x:v>80</x:v>
      </x:c>
      <x:c r="H100" s="2" t="s">
        <x:v>81</x:v>
      </x:c>
      <x:c r="I100" s="2" t="s">
        <x:v>82</x:v>
      </x:c>
      <x:c r="J100" s="2">
        <x:v>15</x:v>
      </x:c>
      <x:c r="K100" s="5">
        <x:v>59.7</x:v>
      </x:c>
      <x:c r="L100" s="2">
        <x:v>606</x:v>
      </x:c>
      <x:c r="M100" s="2" t="s">
        <x:v>83</x:v>
      </x:c>
      <x:c r="N100" s="2" t="s">
        <x:v>100</x:v>
      </x:c>
      <x:c r="O100" s="6" t="b">
        <x:v>1</x:v>
      </x:c>
      <x:c r="P100" s="2" t="n">
        <x:f>COUNTIF('模块测量'!$B$2:$B$801,A100)</x:f>
        <x:v>4</x:v>
      </x:c>
      <x:c r="Q100" s="2" t="str">
        <x:f t="shared" si="3">IF(P100=4,"PASS","CHECK")</x:f>
        <x:v>PASS</x:v>
      </x:c>
    </x:row>
    <x:row r="101" ht="15">
      <x:c r="A101" s="2" t="s">
        <x:v>184</x:v>
      </x:c>
      <x:c r="B101" s="2" t="s">
        <x:v>42</x:v>
      </x:c>
      <x:c r="C101" s="2">
        <x:v>5</x:v>
      </x:c>
      <x:c r="D101" s="4">
        <x:v>46207.388888888891</x:v>
      </x:c>
      <x:c r="E101" s="2">
        <x:v>33</x:v>
      </x:c>
      <x:c r="F101" s="2" t="s">
        <x:v>79</x:v>
      </x:c>
      <x:c r="G101" s="2" t="s">
        <x:v>80</x:v>
      </x:c>
      <x:c r="H101" s="2" t="s">
        <x:v>81</x:v>
      </x:c>
      <x:c r="I101" s="2" t="s">
        <x:v>82</x:v>
      </x:c>
      <x:c r="J101" s="2">
        <x:v>15</x:v>
      </x:c>
      <x:c r="K101" s="5">
        <x:v>61.1</x:v>
      </x:c>
      <x:c r="L101" s="2">
        <x:v>505</x:v>
      </x:c>
      <x:c r="M101" s="2" t="s">
        <x:v>83</x:v>
      </x:c>
      <x:c r="N101" s="2" t="s">
        <x:v>100</x:v>
      </x:c>
      <x:c r="O101" s="6" t="b">
        <x:v>1</x:v>
      </x:c>
      <x:c r="P101" s="2" t="n">
        <x:f>COUNTIF('模块测量'!$B$2:$B$801,A101)</x:f>
        <x:v>4</x:v>
      </x:c>
      <x:c r="Q101" s="2" t="str">
        <x:f t="shared" si="3">IF(P101=4,"PASS","CHECK")</x:f>
        <x:v>PASS</x:v>
      </x:c>
    </x:row>
    <x:row r="102" ht="15">
      <x:c r="A102" s="2" t="s">
        <x:v>185</x:v>
      </x:c>
      <x:c r="B102" s="2" t="s">
        <x:v>43</x:v>
      </x:c>
      <x:c r="C102" s="2">
        <x:v>1</x:v>
      </x:c>
      <x:c r="D102" s="4">
        <x:v>46180.38958333333</x:v>
      </x:c>
      <x:c r="E102" s="2">
        <x:v>6</x:v>
      </x:c>
      <x:c r="F102" s="2" t="s">
        <x:v>79</x:v>
      </x:c>
      <x:c r="G102" s="2" t="s">
        <x:v>80</x:v>
      </x:c>
      <x:c r="H102" s="2" t="s">
        <x:v>81</x:v>
      </x:c>
      <x:c r="I102" s="2" t="s">
        <x:v>82</x:v>
      </x:c>
      <x:c r="J102" s="2">
        <x:v>15</x:v>
      </x:c>
      <x:c r="K102" s="5">
        <x:v>65.400000000000006</x:v>
      </x:c>
      <x:c r="L102" s="2">
        <x:v>439</x:v>
      </x:c>
      <x:c r="M102" s="2" t="s">
        <x:v>83</x:v>
      </x:c>
      <x:c r="N102" s="2" t="s">
        <x:v>84</x:v>
      </x:c>
      <x:c r="O102" s="6" t="b">
        <x:v>1</x:v>
      </x:c>
      <x:c r="P102" s="2" t="n">
        <x:f>COUNTIF('模块测量'!$B$2:$B$801,A102)</x:f>
        <x:v>4</x:v>
      </x:c>
      <x:c r="Q102" s="2" t="str">
        <x:f t="shared" si="3">IF(P102=4,"PASS","CHECK")</x:f>
        <x:v>PASS</x:v>
      </x:c>
    </x:row>
    <x:row r="103" ht="15">
      <x:c r="A103" s="2" t="s">
        <x:v>186</x:v>
      </x:c>
      <x:c r="B103" s="2" t="s">
        <x:v>43</x:v>
      </x:c>
      <x:c r="C103" s="2">
        <x:v>2</x:v>
      </x:c>
      <x:c r="D103" s="4">
        <x:v>46187.38958333333</x:v>
      </x:c>
      <x:c r="E103" s="2">
        <x:v>13</x:v>
      </x:c>
      <x:c r="F103" s="2" t="s">
        <x:v>79</x:v>
      </x:c>
      <x:c r="G103" s="2" t="s">
        <x:v>80</x:v>
      </x:c>
      <x:c r="H103" s="2" t="s">
        <x:v>81</x:v>
      </x:c>
      <x:c r="I103" s="2" t="s">
        <x:v>82</x:v>
      </x:c>
      <x:c r="J103" s="2">
        <x:v>15</x:v>
      </x:c>
      <x:c r="K103" s="5">
        <x:v>62.8</x:v>
      </x:c>
      <x:c r="L103" s="2">
        <x:v>271</x:v>
      </x:c>
      <x:c r="M103" s="2" t="s">
        <x:v>83</x:v>
      </x:c>
      <x:c r="N103" s="2" t="s">
        <x:v>84</x:v>
      </x:c>
      <x:c r="O103" s="6" t="b">
        <x:v>1</x:v>
      </x:c>
      <x:c r="P103" s="2" t="n">
        <x:f>COUNTIF('模块测量'!$B$2:$B$801,A103)</x:f>
        <x:v>4</x:v>
      </x:c>
      <x:c r="Q103" s="2" t="str">
        <x:f t="shared" si="3">IF(P103=4,"PASS","CHECK")</x:f>
        <x:v>PASS</x:v>
      </x:c>
    </x:row>
    <x:row r="104" ht="15">
      <x:c r="A104" s="2" t="s">
        <x:v>187</x:v>
      </x:c>
      <x:c r="B104" s="2" t="s">
        <x:v>43</x:v>
      </x:c>
      <x:c r="C104" s="2">
        <x:v>3</x:v>
      </x:c>
      <x:c r="D104" s="4">
        <x:v>46194.38958333333</x:v>
      </x:c>
      <x:c r="E104" s="2">
        <x:v>20</x:v>
      </x:c>
      <x:c r="F104" s="2" t="s">
        <x:v>79</x:v>
      </x:c>
      <x:c r="G104" s="2" t="s">
        <x:v>80</x:v>
      </x:c>
      <x:c r="H104" s="2" t="s">
        <x:v>81</x:v>
      </x:c>
      <x:c r="I104" s="2" t="s">
        <x:v>82</x:v>
      </x:c>
      <x:c r="J104" s="2">
        <x:v>15</x:v>
      </x:c>
      <x:c r="K104" s="5">
        <x:v>56.9</x:v>
      </x:c>
      <x:c r="L104" s="2">
        <x:v>585</x:v>
      </x:c>
      <x:c r="M104" s="2" t="s">
        <x:v>83</x:v>
      </x:c>
      <x:c r="N104" s="2" t="s">
        <x:v>84</x:v>
      </x:c>
      <x:c r="O104" s="6" t="b">
        <x:v>1</x:v>
      </x:c>
      <x:c r="P104" s="2" t="n">
        <x:f>COUNTIF('模块测量'!$B$2:$B$801,A104)</x:f>
        <x:v>4</x:v>
      </x:c>
      <x:c r="Q104" s="2" t="str">
        <x:f t="shared" si="3">IF(P104=4,"PASS","CHECK")</x:f>
        <x:v>PASS</x:v>
      </x:c>
    </x:row>
    <x:row r="105" ht="15">
      <x:c r="A105" s="2" t="s">
        <x:v>188</x:v>
      </x:c>
      <x:c r="B105" s="2" t="s">
        <x:v>43</x:v>
      </x:c>
      <x:c r="C105" s="2">
        <x:v>4</x:v>
      </x:c>
      <x:c r="D105" s="4">
        <x:v>46201.38958333333</x:v>
      </x:c>
      <x:c r="E105" s="2">
        <x:v>27</x:v>
      </x:c>
      <x:c r="F105" s="2" t="s">
        <x:v>79</x:v>
      </x:c>
      <x:c r="G105" s="2" t="s">
        <x:v>80</x:v>
      </x:c>
      <x:c r="H105" s="2" t="s">
        <x:v>81</x:v>
      </x:c>
      <x:c r="I105" s="2" t="s">
        <x:v>82</x:v>
      </x:c>
      <x:c r="J105" s="2">
        <x:v>15</x:v>
      </x:c>
      <x:c r="K105" s="5">
        <x:v>57.8</x:v>
      </x:c>
      <x:c r="L105" s="2">
        <x:v>327</x:v>
      </x:c>
      <x:c r="M105" s="2" t="s">
        <x:v>83</x:v>
      </x:c>
      <x:c r="N105" s="2" t="s">
        <x:v>84</x:v>
      </x:c>
      <x:c r="O105" s="6" t="b">
        <x:v>1</x:v>
      </x:c>
      <x:c r="P105" s="2" t="n">
        <x:f>COUNTIF('模块测量'!$B$2:$B$801,A105)</x:f>
        <x:v>4</x:v>
      </x:c>
      <x:c r="Q105" s="2" t="str">
        <x:f t="shared" si="3">IF(P105=4,"PASS","CHECK")</x:f>
        <x:v>PASS</x:v>
      </x:c>
    </x:row>
    <x:row r="106" ht="15">
      <x:c r="A106" s="2" t="s">
        <x:v>189</x:v>
      </x:c>
      <x:c r="B106" s="2" t="s">
        <x:v>43</x:v>
      </x:c>
      <x:c r="C106" s="2">
        <x:v>5</x:v>
      </x:c>
      <x:c r="D106" s="4">
        <x:v>46208.38958333333</x:v>
      </x:c>
      <x:c r="E106" s="2">
        <x:v>34</x:v>
      </x:c>
      <x:c r="F106" s="2" t="s">
        <x:v>79</x:v>
      </x:c>
      <x:c r="G106" s="2" t="s">
        <x:v>80</x:v>
      </x:c>
      <x:c r="H106" s="2" t="s">
        <x:v>81</x:v>
      </x:c>
      <x:c r="I106" s="2" t="s">
        <x:v>82</x:v>
      </x:c>
      <x:c r="J106" s="2">
        <x:v>15</x:v>
      </x:c>
      <x:c r="K106" s="5">
        <x:v>62.5</x:v>
      </x:c>
      <x:c r="L106" s="2">
        <x:v>493</x:v>
      </x:c>
      <x:c r="M106" s="2" t="s">
        <x:v>83</x:v>
      </x:c>
      <x:c r="N106" s="2" t="s">
        <x:v>84</x:v>
      </x:c>
      <x:c r="O106" s="6" t="b">
        <x:v>1</x:v>
      </x:c>
      <x:c r="P106" s="2" t="n">
        <x:f>COUNTIF('模块测量'!$B$2:$B$801,A106)</x:f>
        <x:v>4</x:v>
      </x:c>
      <x:c r="Q106" s="2" t="str">
        <x:f t="shared" si="3">IF(P106=4,"PASS","CHECK")</x:f>
        <x:v>PASS</x:v>
      </x:c>
    </x:row>
    <x:row r="107" ht="15">
      <x:c r="A107" s="2" t="s">
        <x:v>190</x:v>
      </x:c>
      <x:c r="B107" s="2" t="s">
        <x:v>44</x:v>
      </x:c>
      <x:c r="C107" s="2">
        <x:v>1</x:v>
      </x:c>
      <x:c r="D107" s="4">
        <x:v>46174.390277777777</x:v>
      </x:c>
      <x:c r="E107" s="2">
        <x:v>0</x:v>
      </x:c>
      <x:c r="F107" s="2" t="s">
        <x:v>79</x:v>
      </x:c>
      <x:c r="G107" s="2" t="s">
        <x:v>80</x:v>
      </x:c>
      <x:c r="H107" s="2" t="s">
        <x:v>81</x:v>
      </x:c>
      <x:c r="I107" s="2" t="s">
        <x:v>82</x:v>
      </x:c>
      <x:c r="J107" s="2">
        <x:v>15</x:v>
      </x:c>
      <x:c r="K107" s="5">
        <x:v>61.1</x:v>
      </x:c>
      <x:c r="L107" s="2">
        <x:v>435</x:v>
      </x:c>
      <x:c r="M107" s="2" t="s">
        <x:v>83</x:v>
      </x:c>
      <x:c r="N107" s="2" t="s">
        <x:v>84</x:v>
      </x:c>
      <x:c r="O107" s="6" t="b">
        <x:v>1</x:v>
      </x:c>
      <x:c r="P107" s="2" t="n">
        <x:f>COUNTIF('模块测量'!$B$2:$B$801,A107)</x:f>
        <x:v>4</x:v>
      </x:c>
      <x:c r="Q107" s="2" t="str">
        <x:f t="shared" si="3">IF(P107=4,"PASS","CHECK")</x:f>
        <x:v>PASS</x:v>
      </x:c>
    </x:row>
    <x:row r="108" ht="15">
      <x:c r="A108" s="2" t="s">
        <x:v>191</x:v>
      </x:c>
      <x:c r="B108" s="2" t="s">
        <x:v>44</x:v>
      </x:c>
      <x:c r="C108" s="2">
        <x:v>2</x:v>
      </x:c>
      <x:c r="D108" s="4">
        <x:v>46181.390277777777</x:v>
      </x:c>
      <x:c r="E108" s="2">
        <x:v>7</x:v>
      </x:c>
      <x:c r="F108" s="2" t="s">
        <x:v>79</x:v>
      </x:c>
      <x:c r="G108" s="2" t="s">
        <x:v>80</x:v>
      </x:c>
      <x:c r="H108" s="2" t="s">
        <x:v>81</x:v>
      </x:c>
      <x:c r="I108" s="2" t="s">
        <x:v>82</x:v>
      </x:c>
      <x:c r="J108" s="2">
        <x:v>15</x:v>
      </x:c>
      <x:c r="K108" s="5">
        <x:v>60.6</x:v>
      </x:c>
      <x:c r="L108" s="2">
        <x:v>258</x:v>
      </x:c>
      <x:c r="M108" s="2" t="s">
        <x:v>83</x:v>
      </x:c>
      <x:c r="N108" s="2" t="s">
        <x:v>84</x:v>
      </x:c>
      <x:c r="O108" s="6" t="b">
        <x:v>1</x:v>
      </x:c>
      <x:c r="P108" s="2" t="n">
        <x:f>COUNTIF('模块测量'!$B$2:$B$801,A108)</x:f>
        <x:v>4</x:v>
      </x:c>
      <x:c r="Q108" s="2" t="str">
        <x:f t="shared" si="3">IF(P108=4,"PASS","CHECK")</x:f>
        <x:v>PASS</x:v>
      </x:c>
    </x:row>
    <x:row r="109" ht="15">
      <x:c r="A109" s="2" t="s">
        <x:v>192</x:v>
      </x:c>
      <x:c r="B109" s="2" t="s">
        <x:v>44</x:v>
      </x:c>
      <x:c r="C109" s="2">
        <x:v>3</x:v>
      </x:c>
      <x:c r="D109" s="4">
        <x:v>46188.390277777777</x:v>
      </x:c>
      <x:c r="E109" s="2">
        <x:v>14</x:v>
      </x:c>
      <x:c r="F109" s="2" t="s">
        <x:v>79</x:v>
      </x:c>
      <x:c r="G109" s="2" t="s">
        <x:v>80</x:v>
      </x:c>
      <x:c r="H109" s="2" t="s">
        <x:v>81</x:v>
      </x:c>
      <x:c r="I109" s="2" t="s">
        <x:v>82</x:v>
      </x:c>
      <x:c r="J109" s="2">
        <x:v>15</x:v>
      </x:c>
      <x:c r="K109" s="5">
        <x:v>62.3</x:v>
      </x:c>
      <x:c r="L109" s="2">
        <x:v>399</x:v>
      </x:c>
      <x:c r="M109" s="2" t="s">
        <x:v>83</x:v>
      </x:c>
      <x:c r="N109" s="2" t="s">
        <x:v>84</x:v>
      </x:c>
      <x:c r="O109" s="6" t="b">
        <x:v>1</x:v>
      </x:c>
      <x:c r="P109" s="2" t="n">
        <x:f>COUNTIF('模块测量'!$B$2:$B$801,A109)</x:f>
        <x:v>4</x:v>
      </x:c>
      <x:c r="Q109" s="2" t="str">
        <x:f t="shared" si="3">IF(P109=4,"PASS","CHECK")</x:f>
        <x:v>PASS</x:v>
      </x:c>
    </x:row>
    <x:row r="110" ht="15">
      <x:c r="A110" s="2" t="s">
        <x:v>193</x:v>
      </x:c>
      <x:c r="B110" s="2" t="s">
        <x:v>44</x:v>
      </x:c>
      <x:c r="C110" s="2">
        <x:v>4</x:v>
      </x:c>
      <x:c r="D110" s="4">
        <x:v>46195.390277777777</x:v>
      </x:c>
      <x:c r="E110" s="2">
        <x:v>21</x:v>
      </x:c>
      <x:c r="F110" s="2" t="s">
        <x:v>79</x:v>
      </x:c>
      <x:c r="G110" s="2" t="s">
        <x:v>80</x:v>
      </x:c>
      <x:c r="H110" s="2" t="s">
        <x:v>81</x:v>
      </x:c>
      <x:c r="I110" s="2" t="s">
        <x:v>82</x:v>
      </x:c>
      <x:c r="J110" s="2">
        <x:v>15</x:v>
      </x:c>
      <x:c r="K110" s="5">
        <x:v>64.5</x:v>
      </x:c>
      <x:c r="L110" s="2">
        <x:v>418</x:v>
      </x:c>
      <x:c r="M110" s="2" t="s">
        <x:v>83</x:v>
      </x:c>
      <x:c r="N110" s="2" t="s">
        <x:v>84</x:v>
      </x:c>
      <x:c r="O110" s="6" t="b">
        <x:v>1</x:v>
      </x:c>
      <x:c r="P110" s="2" t="n">
        <x:f>COUNTIF('模块测量'!$B$2:$B$801,A110)</x:f>
        <x:v>4</x:v>
      </x:c>
      <x:c r="Q110" s="2" t="str">
        <x:f t="shared" si="3">IF(P110=4,"PASS","CHECK")</x:f>
        <x:v>PASS</x:v>
      </x:c>
    </x:row>
    <x:row r="111" ht="15">
      <x:c r="A111" s="2" t="s">
        <x:v>194</x:v>
      </x:c>
      <x:c r="B111" s="2" t="s">
        <x:v>44</x:v>
      </x:c>
      <x:c r="C111" s="2">
        <x:v>5</x:v>
      </x:c>
      <x:c r="D111" s="4">
        <x:v>46202.390277777777</x:v>
      </x:c>
      <x:c r="E111" s="2">
        <x:v>28</x:v>
      </x:c>
      <x:c r="F111" s="2" t="s">
        <x:v>79</x:v>
      </x:c>
      <x:c r="G111" s="2" t="s">
        <x:v>80</x:v>
      </x:c>
      <x:c r="H111" s="2" t="s">
        <x:v>81</x:v>
      </x:c>
      <x:c r="I111" s="2" t="s">
        <x:v>82</x:v>
      </x:c>
      <x:c r="J111" s="2">
        <x:v>15</x:v>
      </x:c>
      <x:c r="K111" s="5">
        <x:v>60</x:v>
      </x:c>
      <x:c r="L111" s="2">
        <x:v>461</x:v>
      </x:c>
      <x:c r="M111" s="2" t="s">
        <x:v>83</x:v>
      </x:c>
      <x:c r="N111" s="2" t="s">
        <x:v>84</x:v>
      </x:c>
      <x:c r="O111" s="6" t="b">
        <x:v>1</x:v>
      </x:c>
      <x:c r="P111" s="2" t="n">
        <x:f>COUNTIF('模块测量'!$B$2:$B$801,A111)</x:f>
        <x:v>4</x:v>
      </x:c>
      <x:c r="Q111" s="2" t="str">
        <x:f t="shared" si="3">IF(P111=4,"PASS","CHECK")</x:f>
        <x:v>PASS</x:v>
      </x:c>
    </x:row>
    <x:row r="112" ht="15">
      <x:c r="A112" s="2" t="s">
        <x:v>195</x:v>
      </x:c>
      <x:c r="B112" s="2" t="s">
        <x:v>45</x:v>
      </x:c>
      <x:c r="C112" s="2">
        <x:v>1</x:v>
      </x:c>
      <x:c r="D112" s="4">
        <x:v>46175.390972222223</x:v>
      </x:c>
      <x:c r="E112" s="2">
        <x:v>1</x:v>
      </x:c>
      <x:c r="F112" s="2" t="s">
        <x:v>79</x:v>
      </x:c>
      <x:c r="G112" s="2" t="s">
        <x:v>80</x:v>
      </x:c>
      <x:c r="H112" s="2" t="s">
        <x:v>81</x:v>
      </x:c>
      <x:c r="I112" s="2" t="s">
        <x:v>82</x:v>
      </x:c>
      <x:c r="J112" s="2">
        <x:v>15</x:v>
      </x:c>
      <x:c r="K112" s="5">
        <x:v>59.6</x:v>
      </x:c>
      <x:c r="L112" s="2">
        <x:v>279</x:v>
      </x:c>
      <x:c r="M112" s="2" t="s">
        <x:v>83</x:v>
      </x:c>
      <x:c r="N112" s="2" t="s">
        <x:v>84</x:v>
      </x:c>
      <x:c r="O112" s="6" t="b">
        <x:v>1</x:v>
      </x:c>
      <x:c r="P112" s="2" t="n">
        <x:f>COUNTIF('模块测量'!$B$2:$B$801,A112)</x:f>
        <x:v>4</x:v>
      </x:c>
      <x:c r="Q112" s="2" t="str">
        <x:f t="shared" si="3">IF(P112=4,"PASS","CHECK")</x:f>
        <x:v>PASS</x:v>
      </x:c>
    </x:row>
    <x:row r="113" ht="15">
      <x:c r="A113" s="2" t="s">
        <x:v>196</x:v>
      </x:c>
      <x:c r="B113" s="2" t="s">
        <x:v>45</x:v>
      </x:c>
      <x:c r="C113" s="2">
        <x:v>2</x:v>
      </x:c>
      <x:c r="D113" s="4">
        <x:v>46182.390972222223</x:v>
      </x:c>
      <x:c r="E113" s="2">
        <x:v>8</x:v>
      </x:c>
      <x:c r="F113" s="2" t="s">
        <x:v>79</x:v>
      </x:c>
      <x:c r="G113" s="2" t="s">
        <x:v>80</x:v>
      </x:c>
      <x:c r="H113" s="2" t="s">
        <x:v>81</x:v>
      </x:c>
      <x:c r="I113" s="2" t="s">
        <x:v>82</x:v>
      </x:c>
      <x:c r="J113" s="2">
        <x:v>15</x:v>
      </x:c>
      <x:c r="K113" s="5">
        <x:v>52.7</x:v>
      </x:c>
      <x:c r="L113" s="2">
        <x:v>369</x:v>
      </x:c>
      <x:c r="M113" s="2" t="s">
        <x:v>83</x:v>
      </x:c>
      <x:c r="N113" s="2" t="s">
        <x:v>84</x:v>
      </x:c>
      <x:c r="O113" s="6" t="b">
        <x:v>1</x:v>
      </x:c>
      <x:c r="P113" s="2" t="n">
        <x:f>COUNTIF('模块测量'!$B$2:$B$801,A113)</x:f>
        <x:v>4</x:v>
      </x:c>
      <x:c r="Q113" s="2" t="str">
        <x:f t="shared" si="3">IF(P113=4,"PASS","CHECK")</x:f>
        <x:v>PASS</x:v>
      </x:c>
    </x:row>
    <x:row r="114" ht="15">
      <x:c r="A114" s="2" t="s">
        <x:v>197</x:v>
      </x:c>
      <x:c r="B114" s="2" t="s">
        <x:v>45</x:v>
      </x:c>
      <x:c r="C114" s="2">
        <x:v>3</x:v>
      </x:c>
      <x:c r="D114" s="4">
        <x:v>46189.390972222223</x:v>
      </x:c>
      <x:c r="E114" s="2">
        <x:v>15</x:v>
      </x:c>
      <x:c r="F114" s="2" t="s">
        <x:v>79</x:v>
      </x:c>
      <x:c r="G114" s="2" t="s">
        <x:v>80</x:v>
      </x:c>
      <x:c r="H114" s="2" t="s">
        <x:v>81</x:v>
      </x:c>
      <x:c r="I114" s="2" t="s">
        <x:v>82</x:v>
      </x:c>
      <x:c r="J114" s="2">
        <x:v>15</x:v>
      </x:c>
      <x:c r="K114" s="5">
        <x:v>50</x:v>
      </x:c>
      <x:c r="L114" s="2">
        <x:v>474</x:v>
      </x:c>
      <x:c r="M114" s="2" t="s">
        <x:v>83</x:v>
      </x:c>
      <x:c r="N114" s="2" t="s">
        <x:v>84</x:v>
      </x:c>
      <x:c r="O114" s="6" t="b">
        <x:v>1</x:v>
      </x:c>
      <x:c r="P114" s="2" t="n">
        <x:f>COUNTIF('模块测量'!$B$2:$B$801,A114)</x:f>
        <x:v>4</x:v>
      </x:c>
      <x:c r="Q114" s="2" t="str">
        <x:f t="shared" si="3">IF(P114=4,"PASS","CHECK")</x:f>
        <x:v>PASS</x:v>
      </x:c>
    </x:row>
    <x:row r="115" ht="15">
      <x:c r="A115" s="2" t="s">
        <x:v>198</x:v>
      </x:c>
      <x:c r="B115" s="2" t="s">
        <x:v>45</x:v>
      </x:c>
      <x:c r="C115" s="2">
        <x:v>4</x:v>
      </x:c>
      <x:c r="D115" s="4">
        <x:v>46196.390972222223</x:v>
      </x:c>
      <x:c r="E115" s="2">
        <x:v>22</x:v>
      </x:c>
      <x:c r="F115" s="2" t="s">
        <x:v>79</x:v>
      </x:c>
      <x:c r="G115" s="2" t="s">
        <x:v>80</x:v>
      </x:c>
      <x:c r="H115" s="2" t="s">
        <x:v>81</x:v>
      </x:c>
      <x:c r="I115" s="2" t="s">
        <x:v>82</x:v>
      </x:c>
      <x:c r="J115" s="2">
        <x:v>15</x:v>
      </x:c>
      <x:c r="K115" s="5">
        <x:v>56.2</x:v>
      </x:c>
      <x:c r="L115" s="2">
        <x:v>337</x:v>
      </x:c>
      <x:c r="M115" s="2" t="s">
        <x:v>83</x:v>
      </x:c>
      <x:c r="N115" s="2" t="s">
        <x:v>84</x:v>
      </x:c>
      <x:c r="O115" s="6" t="b">
        <x:v>1</x:v>
      </x:c>
      <x:c r="P115" s="2" t="n">
        <x:f>COUNTIF('模块测量'!$B$2:$B$801,A115)</x:f>
        <x:v>4</x:v>
      </x:c>
      <x:c r="Q115" s="2" t="str">
        <x:f t="shared" si="3">IF(P115=4,"PASS","CHECK")</x:f>
        <x:v>PASS</x:v>
      </x:c>
    </x:row>
    <x:row r="116" ht="15">
      <x:c r="A116" s="2" t="s">
        <x:v>199</x:v>
      </x:c>
      <x:c r="B116" s="2" t="s">
        <x:v>45</x:v>
      </x:c>
      <x:c r="C116" s="2">
        <x:v>5</x:v>
      </x:c>
      <x:c r="D116" s="4">
        <x:v>46203.390972222223</x:v>
      </x:c>
      <x:c r="E116" s="2">
        <x:v>29</x:v>
      </x:c>
      <x:c r="F116" s="2" t="s">
        <x:v>79</x:v>
      </x:c>
      <x:c r="G116" s="2" t="s">
        <x:v>80</x:v>
      </x:c>
      <x:c r="H116" s="2" t="s">
        <x:v>81</x:v>
      </x:c>
      <x:c r="I116" s="2" t="s">
        <x:v>82</x:v>
      </x:c>
      <x:c r="J116" s="2">
        <x:v>15</x:v>
      </x:c>
      <x:c r="K116" s="5">
        <x:v>61.1</x:v>
      </x:c>
      <x:c r="L116" s="2">
        <x:v>365</x:v>
      </x:c>
      <x:c r="M116" s="2" t="s">
        <x:v>83</x:v>
      </x:c>
      <x:c r="N116" s="2" t="s">
        <x:v>84</x:v>
      </x:c>
      <x:c r="O116" s="6" t="b">
        <x:v>1</x:v>
      </x:c>
      <x:c r="P116" s="2" t="n">
        <x:f>COUNTIF('模块测量'!$B$2:$B$801,A116)</x:f>
        <x:v>4</x:v>
      </x:c>
      <x:c r="Q116" s="2" t="str">
        <x:f t="shared" si="3">IF(P116=4,"PASS","CHECK")</x:f>
        <x:v>PASS</x:v>
      </x:c>
    </x:row>
    <x:row r="117" ht="15">
      <x:c r="A117" s="2" t="s">
        <x:v>200</x:v>
      </x:c>
      <x:c r="B117" s="2" t="s">
        <x:v>46</x:v>
      </x:c>
      <x:c r="C117" s="2">
        <x:v>1</x:v>
      </x:c>
      <x:c r="D117" s="4">
        <x:v>46176.39166666667</x:v>
      </x:c>
      <x:c r="E117" s="2">
        <x:v>2</x:v>
      </x:c>
      <x:c r="F117" s="2" t="s">
        <x:v>79</x:v>
      </x:c>
      <x:c r="G117" s="2" t="s">
        <x:v>80</x:v>
      </x:c>
      <x:c r="H117" s="2" t="s">
        <x:v>81</x:v>
      </x:c>
      <x:c r="I117" s="2" t="s">
        <x:v>82</x:v>
      </x:c>
      <x:c r="J117" s="2">
        <x:v>15</x:v>
      </x:c>
      <x:c r="K117" s="5">
        <x:v>62.2</x:v>
      </x:c>
      <x:c r="L117" s="2">
        <x:v>494</x:v>
      </x:c>
      <x:c r="M117" s="2" t="s">
        <x:v>83</x:v>
      </x:c>
      <x:c r="N117" s="2" t="s">
        <x:v>100</x:v>
      </x:c>
      <x:c r="O117" s="6" t="b">
        <x:v>1</x:v>
      </x:c>
      <x:c r="P117" s="2" t="n">
        <x:f>COUNTIF('模块测量'!$B$2:$B$801,A117)</x:f>
        <x:v>4</x:v>
      </x:c>
      <x:c r="Q117" s="2" t="str">
        <x:f t="shared" si="3">IF(P117=4,"PASS","CHECK")</x:f>
        <x:v>PASS</x:v>
      </x:c>
    </x:row>
    <x:row r="118" ht="15">
      <x:c r="A118" s="2" t="s">
        <x:v>201</x:v>
      </x:c>
      <x:c r="B118" s="2" t="s">
        <x:v>46</x:v>
      </x:c>
      <x:c r="C118" s="2">
        <x:v>2</x:v>
      </x:c>
      <x:c r="D118" s="4">
        <x:v>46183.39166666667</x:v>
      </x:c>
      <x:c r="E118" s="2">
        <x:v>9</x:v>
      </x:c>
      <x:c r="F118" s="2" t="s">
        <x:v>79</x:v>
      </x:c>
      <x:c r="G118" s="2" t="s">
        <x:v>80</x:v>
      </x:c>
      <x:c r="H118" s="2" t="s">
        <x:v>81</x:v>
      </x:c>
      <x:c r="I118" s="2" t="s">
        <x:v>82</x:v>
      </x:c>
      <x:c r="J118" s="2">
        <x:v>15</x:v>
      </x:c>
      <x:c r="K118" s="5">
        <x:v>56</x:v>
      </x:c>
      <x:c r="L118" s="2">
        <x:v>394</x:v>
      </x:c>
      <x:c r="M118" s="2" t="s">
        <x:v>83</x:v>
      </x:c>
      <x:c r="N118" s="2" t="s">
        <x:v>100</x:v>
      </x:c>
      <x:c r="O118" s="6" t="b">
        <x:v>1</x:v>
      </x:c>
      <x:c r="P118" s="2" t="n">
        <x:f>COUNTIF('模块测量'!$B$2:$B$801,A118)</x:f>
        <x:v>4</x:v>
      </x:c>
      <x:c r="Q118" s="2" t="str">
        <x:f t="shared" si="3">IF(P118=4,"PASS","CHECK")</x:f>
        <x:v>PASS</x:v>
      </x:c>
    </x:row>
    <x:row r="119" ht="15">
      <x:c r="A119" s="2" t="s">
        <x:v>202</x:v>
      </x:c>
      <x:c r="B119" s="2" t="s">
        <x:v>46</x:v>
      </x:c>
      <x:c r="C119" s="2">
        <x:v>3</x:v>
      </x:c>
      <x:c r="D119" s="4">
        <x:v>46190.39166666667</x:v>
      </x:c>
      <x:c r="E119" s="2">
        <x:v>16</x:v>
      </x:c>
      <x:c r="F119" s="2" t="s">
        <x:v>79</x:v>
      </x:c>
      <x:c r="G119" s="2" t="s">
        <x:v>80</x:v>
      </x:c>
      <x:c r="H119" s="2" t="s">
        <x:v>81</x:v>
      </x:c>
      <x:c r="I119" s="2" t="s">
        <x:v>82</x:v>
      </x:c>
      <x:c r="J119" s="2">
        <x:v>15</x:v>
      </x:c>
      <x:c r="K119" s="5">
        <x:v>62</x:v>
      </x:c>
      <x:c r="L119" s="2">
        <x:v>411</x:v>
      </x:c>
      <x:c r="M119" s="2" t="s">
        <x:v>83</x:v>
      </x:c>
      <x:c r="N119" s="2" t="s">
        <x:v>100</x:v>
      </x:c>
      <x:c r="O119" s="6" t="b">
        <x:v>1</x:v>
      </x:c>
      <x:c r="P119" s="2" t="n">
        <x:f>COUNTIF('模块测量'!$B$2:$B$801,A119)</x:f>
        <x:v>4</x:v>
      </x:c>
      <x:c r="Q119" s="2" t="str">
        <x:f t="shared" si="3">IF(P119=4,"PASS","CHECK")</x:f>
        <x:v>PASS</x:v>
      </x:c>
    </x:row>
    <x:row r="120" ht="15">
      <x:c r="A120" s="2" t="s">
        <x:v>203</x:v>
      </x:c>
      <x:c r="B120" s="2" t="s">
        <x:v>46</x:v>
      </x:c>
      <x:c r="C120" s="2">
        <x:v>4</x:v>
      </x:c>
      <x:c r="D120" s="4">
        <x:v>46197.39166666667</x:v>
      </x:c>
      <x:c r="E120" s="2">
        <x:v>23</x:v>
      </x:c>
      <x:c r="F120" s="2" t="s">
        <x:v>79</x:v>
      </x:c>
      <x:c r="G120" s="2" t="s">
        <x:v>80</x:v>
      </x:c>
      <x:c r="H120" s="2" t="s">
        <x:v>81</x:v>
      </x:c>
      <x:c r="I120" s="2" t="s">
        <x:v>82</x:v>
      </x:c>
      <x:c r="J120" s="2">
        <x:v>15</x:v>
      </x:c>
      <x:c r="K120" s="5">
        <x:v>62.1</x:v>
      </x:c>
      <x:c r="L120" s="2">
        <x:v>438</x:v>
      </x:c>
      <x:c r="M120" s="2" t="s">
        <x:v>83</x:v>
      </x:c>
      <x:c r="N120" s="2" t="s">
        <x:v>100</x:v>
      </x:c>
      <x:c r="O120" s="6" t="b">
        <x:v>1</x:v>
      </x:c>
      <x:c r="P120" s="2" t="n">
        <x:f>COUNTIF('模块测量'!$B$2:$B$801,A120)</x:f>
        <x:v>4</x:v>
      </x:c>
      <x:c r="Q120" s="2" t="str">
        <x:f t="shared" si="3">IF(P120=4,"PASS","CHECK")</x:f>
        <x:v>PASS</x:v>
      </x:c>
    </x:row>
    <x:row r="121" ht="15">
      <x:c r="A121" s="2" t="s">
        <x:v>204</x:v>
      </x:c>
      <x:c r="B121" s="2" t="s">
        <x:v>46</x:v>
      </x:c>
      <x:c r="C121" s="2">
        <x:v>5</x:v>
      </x:c>
      <x:c r="D121" s="4">
        <x:v>46204.39166666667</x:v>
      </x:c>
      <x:c r="E121" s="2">
        <x:v>30</x:v>
      </x:c>
      <x:c r="F121" s="2" t="s">
        <x:v>79</x:v>
      </x:c>
      <x:c r="G121" s="2" t="s">
        <x:v>80</x:v>
      </x:c>
      <x:c r="H121" s="2" t="s">
        <x:v>81</x:v>
      </x:c>
      <x:c r="I121" s="2" t="s">
        <x:v>82</x:v>
      </x:c>
      <x:c r="J121" s="2">
        <x:v>15</x:v>
      </x:c>
      <x:c r="K121" s="5">
        <x:v>55.4</x:v>
      </x:c>
      <x:c r="L121" s="2">
        <x:v>531</x:v>
      </x:c>
      <x:c r="M121" s="2" t="s">
        <x:v>83</x:v>
      </x:c>
      <x:c r="N121" s="2" t="s">
        <x:v>100</x:v>
      </x:c>
      <x:c r="O121" s="6" t="b">
        <x:v>1</x:v>
      </x:c>
      <x:c r="P121" s="2" t="n">
        <x:f>COUNTIF('模块测量'!$B$2:$B$801,A121)</x:f>
        <x:v>4</x:v>
      </x:c>
      <x:c r="Q121" s="2" t="str">
        <x:f t="shared" si="3">IF(P121=4,"PASS","CHECK")</x:f>
        <x:v>PASS</x:v>
      </x:c>
    </x:row>
    <x:row r="122" ht="15">
      <x:c r="A122" s="2" t="s">
        <x:v>205</x:v>
      </x:c>
      <x:c r="B122" s="2" t="s">
        <x:v>47</x:v>
      </x:c>
      <x:c r="C122" s="2">
        <x:v>1</x:v>
      </x:c>
      <x:c r="D122" s="4">
        <x:v>46177.392361111109</x:v>
      </x:c>
      <x:c r="E122" s="2">
        <x:v>3</x:v>
      </x:c>
      <x:c r="F122" s="2" t="s">
        <x:v>79</x:v>
      </x:c>
      <x:c r="G122" s="2" t="s">
        <x:v>80</x:v>
      </x:c>
      <x:c r="H122" s="2" t="s">
        <x:v>81</x:v>
      </x:c>
      <x:c r="I122" s="2" t="s">
        <x:v>82</x:v>
      </x:c>
      <x:c r="J122" s="2">
        <x:v>15</x:v>
      </x:c>
      <x:c r="K122" s="5">
        <x:v>59.8</x:v>
      </x:c>
      <x:c r="L122" s="2">
        <x:v>464</x:v>
      </x:c>
      <x:c r="M122" s="2" t="s">
        <x:v>83</x:v>
      </x:c>
      <x:c r="N122" s="2" t="s">
        <x:v>84</x:v>
      </x:c>
      <x:c r="O122" s="6" t="b">
        <x:v>1</x:v>
      </x:c>
      <x:c r="P122" s="2" t="n">
        <x:f>COUNTIF('模块测量'!$B$2:$B$801,A122)</x:f>
        <x:v>4</x:v>
      </x:c>
      <x:c r="Q122" s="2" t="str">
        <x:f t="shared" si="3">IF(P122=4,"PASS","CHECK")</x:f>
        <x:v>PASS</x:v>
      </x:c>
    </x:row>
    <x:row r="123" ht="15">
      <x:c r="A123" s="2" t="s">
        <x:v>206</x:v>
      </x:c>
      <x:c r="B123" s="2" t="s">
        <x:v>47</x:v>
      </x:c>
      <x:c r="C123" s="2">
        <x:v>2</x:v>
      </x:c>
      <x:c r="D123" s="4">
        <x:v>46184.392361111109</x:v>
      </x:c>
      <x:c r="E123" s="2">
        <x:v>10</x:v>
      </x:c>
      <x:c r="F123" s="2" t="s">
        <x:v>79</x:v>
      </x:c>
      <x:c r="G123" s="2" t="s">
        <x:v>80</x:v>
      </x:c>
      <x:c r="H123" s="2" t="s">
        <x:v>81</x:v>
      </x:c>
      <x:c r="I123" s="2" t="s">
        <x:v>82</x:v>
      </x:c>
      <x:c r="J123" s="2">
        <x:v>15</x:v>
      </x:c>
      <x:c r="K123" s="5">
        <x:v>54.9</x:v>
      </x:c>
      <x:c r="L123" s="2">
        <x:v>470</x:v>
      </x:c>
      <x:c r="M123" s="2" t="s">
        <x:v>83</x:v>
      </x:c>
      <x:c r="N123" s="2" t="s">
        <x:v>84</x:v>
      </x:c>
      <x:c r="O123" s="6" t="b">
        <x:v>1</x:v>
      </x:c>
      <x:c r="P123" s="2" t="n">
        <x:f>COUNTIF('模块测量'!$B$2:$B$801,A123)</x:f>
        <x:v>4</x:v>
      </x:c>
      <x:c r="Q123" s="2" t="str">
        <x:f t="shared" si="3">IF(P123=4,"PASS","CHECK")</x:f>
        <x:v>PASS</x:v>
      </x:c>
    </x:row>
    <x:row r="124" ht="15">
      <x:c r="A124" s="2" t="s">
        <x:v>207</x:v>
      </x:c>
      <x:c r="B124" s="2" t="s">
        <x:v>47</x:v>
      </x:c>
      <x:c r="C124" s="2">
        <x:v>3</x:v>
      </x:c>
      <x:c r="D124" s="4">
        <x:v>46191.392361111109</x:v>
      </x:c>
      <x:c r="E124" s="2">
        <x:v>17</x:v>
      </x:c>
      <x:c r="F124" s="2" t="s">
        <x:v>79</x:v>
      </x:c>
      <x:c r="G124" s="2" t="s">
        <x:v>80</x:v>
      </x:c>
      <x:c r="H124" s="2" t="s">
        <x:v>81</x:v>
      </x:c>
      <x:c r="I124" s="2" t="s">
        <x:v>82</x:v>
      </x:c>
      <x:c r="J124" s="2">
        <x:v>15</x:v>
      </x:c>
      <x:c r="K124" s="5">
        <x:v>64.2</x:v>
      </x:c>
      <x:c r="L124" s="2">
        <x:v>517</x:v>
      </x:c>
      <x:c r="M124" s="2" t="s">
        <x:v>83</x:v>
      </x:c>
      <x:c r="N124" s="2" t="s">
        <x:v>84</x:v>
      </x:c>
      <x:c r="O124" s="6" t="b">
        <x:v>1</x:v>
      </x:c>
      <x:c r="P124" s="2" t="n">
        <x:f>COUNTIF('模块测量'!$B$2:$B$801,A124)</x:f>
        <x:v>4</x:v>
      </x:c>
      <x:c r="Q124" s="2" t="str">
        <x:f t="shared" si="3">IF(P124=4,"PASS","CHECK")</x:f>
        <x:v>PASS</x:v>
      </x:c>
    </x:row>
    <x:row r="125" ht="15">
      <x:c r="A125" s="2" t="s">
        <x:v>208</x:v>
      </x:c>
      <x:c r="B125" s="2" t="s">
        <x:v>47</x:v>
      </x:c>
      <x:c r="C125" s="2">
        <x:v>4</x:v>
      </x:c>
      <x:c r="D125" s="4">
        <x:v>46198.392361111109</x:v>
      </x:c>
      <x:c r="E125" s="2">
        <x:v>24</x:v>
      </x:c>
      <x:c r="F125" s="2" t="s">
        <x:v>79</x:v>
      </x:c>
      <x:c r="G125" s="2" t="s">
        <x:v>80</x:v>
      </x:c>
      <x:c r="H125" s="2" t="s">
        <x:v>81</x:v>
      </x:c>
      <x:c r="I125" s="2" t="s">
        <x:v>82</x:v>
      </x:c>
      <x:c r="J125" s="2">
        <x:v>15</x:v>
      </x:c>
      <x:c r="K125" s="5">
        <x:v>62</x:v>
      </x:c>
      <x:c r="L125" s="2">
        <x:v>324</x:v>
      </x:c>
      <x:c r="M125" s="2" t="s">
        <x:v>83</x:v>
      </x:c>
      <x:c r="N125" s="2" t="s">
        <x:v>84</x:v>
      </x:c>
      <x:c r="O125" s="6" t="b">
        <x:v>1</x:v>
      </x:c>
      <x:c r="P125" s="2" t="n">
        <x:f>COUNTIF('模块测量'!$B$2:$B$801,A125)</x:f>
        <x:v>4</x:v>
      </x:c>
      <x:c r="Q125" s="2" t="str">
        <x:f t="shared" si="3">IF(P125=4,"PASS","CHECK")</x:f>
        <x:v>PASS</x:v>
      </x:c>
    </x:row>
    <x:row r="126" ht="15">
      <x:c r="A126" s="2" t="s">
        <x:v>209</x:v>
      </x:c>
      <x:c r="B126" s="2" t="s">
        <x:v>47</x:v>
      </x:c>
      <x:c r="C126" s="2">
        <x:v>5</x:v>
      </x:c>
      <x:c r="D126" s="4">
        <x:v>46205.392361111109</x:v>
      </x:c>
      <x:c r="E126" s="2">
        <x:v>31</x:v>
      </x:c>
      <x:c r="F126" s="2" t="s">
        <x:v>79</x:v>
      </x:c>
      <x:c r="G126" s="2" t="s">
        <x:v>80</x:v>
      </x:c>
      <x:c r="H126" s="2" t="s">
        <x:v>81</x:v>
      </x:c>
      <x:c r="I126" s="2" t="s">
        <x:v>82</x:v>
      </x:c>
      <x:c r="J126" s="2">
        <x:v>15</x:v>
      </x:c>
      <x:c r="K126" s="5">
        <x:v>61.1</x:v>
      </x:c>
      <x:c r="L126" s="2">
        <x:v>273</x:v>
      </x:c>
      <x:c r="M126" s="2" t="s">
        <x:v>83</x:v>
      </x:c>
      <x:c r="N126" s="2" t="s">
        <x:v>84</x:v>
      </x:c>
      <x:c r="O126" s="6" t="b">
        <x:v>1</x:v>
      </x:c>
      <x:c r="P126" s="2" t="n">
        <x:f>COUNTIF('模块测量'!$B$2:$B$801,A126)</x:f>
        <x:v>4</x:v>
      </x:c>
      <x:c r="Q126" s="2" t="str">
        <x:f t="shared" si="3">IF(P126=4,"PASS","CHECK")</x:f>
        <x:v>PASS</x:v>
      </x:c>
    </x:row>
    <x:row r="127" ht="15">
      <x:c r="A127" s="2" t="s">
        <x:v>210</x:v>
      </x:c>
      <x:c r="B127" s="2" t="s">
        <x:v>48</x:v>
      </x:c>
      <x:c r="C127" s="2">
        <x:v>1</x:v>
      </x:c>
      <x:c r="D127" s="4">
        <x:v>46178.393055555556</x:v>
      </x:c>
      <x:c r="E127" s="2">
        <x:v>4</x:v>
      </x:c>
      <x:c r="F127" s="2" t="s">
        <x:v>79</x:v>
      </x:c>
      <x:c r="G127" s="2" t="s">
        <x:v>80</x:v>
      </x:c>
      <x:c r="H127" s="2" t="s">
        <x:v>81</x:v>
      </x:c>
      <x:c r="I127" s="2" t="s">
        <x:v>82</x:v>
      </x:c>
      <x:c r="J127" s="2">
        <x:v>15</x:v>
      </x:c>
      <x:c r="K127" s="5">
        <x:v>57.7</x:v>
      </x:c>
      <x:c r="L127" s="2">
        <x:v>469</x:v>
      </x:c>
      <x:c r="M127" s="2" t="s">
        <x:v>83</x:v>
      </x:c>
      <x:c r="N127" s="2" t="s">
        <x:v>84</x:v>
      </x:c>
      <x:c r="O127" s="6" t="b">
        <x:v>1</x:v>
      </x:c>
      <x:c r="P127" s="2" t="n">
        <x:f>COUNTIF('模块测量'!$B$2:$B$801,A127)</x:f>
        <x:v>4</x:v>
      </x:c>
      <x:c r="Q127" s="2" t="str">
        <x:f t="shared" si="3">IF(P127=4,"PASS","CHECK")</x:f>
        <x:v>PASS</x:v>
      </x:c>
    </x:row>
    <x:row r="128" ht="15">
      <x:c r="A128" s="2" t="s">
        <x:v>211</x:v>
      </x:c>
      <x:c r="B128" s="2" t="s">
        <x:v>48</x:v>
      </x:c>
      <x:c r="C128" s="2">
        <x:v>2</x:v>
      </x:c>
      <x:c r="D128" s="4">
        <x:v>46185.393055555556</x:v>
      </x:c>
      <x:c r="E128" s="2">
        <x:v>11</x:v>
      </x:c>
      <x:c r="F128" s="2" t="s">
        <x:v>79</x:v>
      </x:c>
      <x:c r="G128" s="2" t="s">
        <x:v>80</x:v>
      </x:c>
      <x:c r="H128" s="2" t="s">
        <x:v>81</x:v>
      </x:c>
      <x:c r="I128" s="2" t="s">
        <x:v>82</x:v>
      </x:c>
      <x:c r="J128" s="2">
        <x:v>15</x:v>
      </x:c>
      <x:c r="K128" s="5">
        <x:v>60.5</x:v>
      </x:c>
      <x:c r="L128" s="2">
        <x:v>555</x:v>
      </x:c>
      <x:c r="M128" s="2" t="s">
        <x:v>83</x:v>
      </x:c>
      <x:c r="N128" s="2" t="s">
        <x:v>84</x:v>
      </x:c>
      <x:c r="O128" s="6" t="b">
        <x:v>1</x:v>
      </x:c>
      <x:c r="P128" s="2" t="n">
        <x:f>COUNTIF('模块测量'!$B$2:$B$801,A128)</x:f>
        <x:v>4</x:v>
      </x:c>
      <x:c r="Q128" s="2" t="str">
        <x:f t="shared" si="3">IF(P128=4,"PASS","CHECK")</x:f>
        <x:v>PASS</x:v>
      </x:c>
    </x:row>
    <x:row r="129" ht="15">
      <x:c r="A129" s="2" t="s">
        <x:v>212</x:v>
      </x:c>
      <x:c r="B129" s="2" t="s">
        <x:v>48</x:v>
      </x:c>
      <x:c r="C129" s="2">
        <x:v>3</x:v>
      </x:c>
      <x:c r="D129" s="4">
        <x:v>46192.393055555556</x:v>
      </x:c>
      <x:c r="E129" s="2">
        <x:v>18</x:v>
      </x:c>
      <x:c r="F129" s="2" t="s">
        <x:v>79</x:v>
      </x:c>
      <x:c r="G129" s="2" t="s">
        <x:v>80</x:v>
      </x:c>
      <x:c r="H129" s="2" t="s">
        <x:v>81</x:v>
      </x:c>
      <x:c r="I129" s="2" t="s">
        <x:v>82</x:v>
      </x:c>
      <x:c r="J129" s="2">
        <x:v>15</x:v>
      </x:c>
      <x:c r="K129" s="5">
        <x:v>56</x:v>
      </x:c>
      <x:c r="L129" s="2">
        <x:v>455</x:v>
      </x:c>
      <x:c r="M129" s="2" t="s">
        <x:v>83</x:v>
      </x:c>
      <x:c r="N129" s="2" t="s">
        <x:v>84</x:v>
      </x:c>
      <x:c r="O129" s="6" t="b">
        <x:v>1</x:v>
      </x:c>
      <x:c r="P129" s="2" t="n">
        <x:f>COUNTIF('模块测量'!$B$2:$B$801,A129)</x:f>
        <x:v>4</x:v>
      </x:c>
      <x:c r="Q129" s="2" t="str">
        <x:f t="shared" si="3">IF(P129=4,"PASS","CHECK")</x:f>
        <x:v>PASS</x:v>
      </x:c>
    </x:row>
    <x:row r="130" ht="15">
      <x:c r="A130" s="2" t="s">
        <x:v>213</x:v>
      </x:c>
      <x:c r="B130" s="2" t="s">
        <x:v>48</x:v>
      </x:c>
      <x:c r="C130" s="2">
        <x:v>4</x:v>
      </x:c>
      <x:c r="D130" s="4">
        <x:v>46199.393055555556</x:v>
      </x:c>
      <x:c r="E130" s="2">
        <x:v>25</x:v>
      </x:c>
      <x:c r="F130" s="2" t="s">
        <x:v>79</x:v>
      </x:c>
      <x:c r="G130" s="2" t="s">
        <x:v>80</x:v>
      </x:c>
      <x:c r="H130" s="2" t="s">
        <x:v>81</x:v>
      </x:c>
      <x:c r="I130" s="2" t="s">
        <x:v>82</x:v>
      </x:c>
      <x:c r="J130" s="2">
        <x:v>15</x:v>
      </x:c>
      <x:c r="K130" s="5">
        <x:v>65.400000000000006</x:v>
      </x:c>
      <x:c r="L130" s="2">
        <x:v>321</x:v>
      </x:c>
      <x:c r="M130" s="2" t="s">
        <x:v>83</x:v>
      </x:c>
      <x:c r="N130" s="2" t="s">
        <x:v>84</x:v>
      </x:c>
      <x:c r="O130" s="6" t="b">
        <x:v>1</x:v>
      </x:c>
      <x:c r="P130" s="2" t="n">
        <x:f>COUNTIF('模块测量'!$B$2:$B$801,A130)</x:f>
        <x:v>4</x:v>
      </x:c>
      <x:c r="Q130" s="2" t="str">
        <x:f t="shared" ref="Q130:Q161" si="4">IF(P130=4,"PASS","CHECK")</x:f>
        <x:v>PASS</x:v>
      </x:c>
    </x:row>
    <x:row r="131" ht="15">
      <x:c r="A131" s="2" t="s">
        <x:v>214</x:v>
      </x:c>
      <x:c r="B131" s="2" t="s">
        <x:v>48</x:v>
      </x:c>
      <x:c r="C131" s="2">
        <x:v>5</x:v>
      </x:c>
      <x:c r="D131" s="4">
        <x:v>46206.393055555556</x:v>
      </x:c>
      <x:c r="E131" s="2">
        <x:v>32</x:v>
      </x:c>
      <x:c r="F131" s="2" t="s">
        <x:v>79</x:v>
      </x:c>
      <x:c r="G131" s="2" t="s">
        <x:v>80</x:v>
      </x:c>
      <x:c r="H131" s="2" t="s">
        <x:v>81</x:v>
      </x:c>
      <x:c r="I131" s="2" t="s">
        <x:v>82</x:v>
      </x:c>
      <x:c r="J131" s="2">
        <x:v>15</x:v>
      </x:c>
      <x:c r="K131" s="5">
        <x:v>55.3</x:v>
      </x:c>
      <x:c r="L131" s="2">
        <x:v>367</x:v>
      </x:c>
      <x:c r="M131" s="2" t="s">
        <x:v>83</x:v>
      </x:c>
      <x:c r="N131" s="2" t="s">
        <x:v>84</x:v>
      </x:c>
      <x:c r="O131" s="6" t="b">
        <x:v>1</x:v>
      </x:c>
      <x:c r="P131" s="2" t="n">
        <x:f>COUNTIF('模块测量'!$B$2:$B$801,A131)</x:f>
        <x:v>4</x:v>
      </x:c>
      <x:c r="Q131" s="2" t="str">
        <x:f t="shared" si="4">IF(P131=4,"PASS","CHECK")</x:f>
        <x:v>PASS</x:v>
      </x:c>
    </x:row>
    <x:row r="132" ht="15">
      <x:c r="A132" s="2" t="s">
        <x:v>215</x:v>
      </x:c>
      <x:c r="B132" s="2" t="s">
        <x:v>49</x:v>
      </x:c>
      <x:c r="C132" s="2">
        <x:v>1</x:v>
      </x:c>
      <x:c r="D132" s="4">
        <x:v>46179.393750000003</x:v>
      </x:c>
      <x:c r="E132" s="2">
        <x:v>5</x:v>
      </x:c>
      <x:c r="F132" s="2" t="s">
        <x:v>79</x:v>
      </x:c>
      <x:c r="G132" s="2" t="s">
        <x:v>80</x:v>
      </x:c>
      <x:c r="H132" s="2" t="s">
        <x:v>81</x:v>
      </x:c>
      <x:c r="I132" s="2" t="s">
        <x:v>82</x:v>
      </x:c>
      <x:c r="J132" s="2">
        <x:v>15</x:v>
      </x:c>
      <x:c r="K132" s="5">
        <x:v>60.8</x:v>
      </x:c>
      <x:c r="L132" s="2">
        <x:v>268</x:v>
      </x:c>
      <x:c r="M132" s="2" t="s">
        <x:v>83</x:v>
      </x:c>
      <x:c r="N132" s="2" t="s">
        <x:v>84</x:v>
      </x:c>
      <x:c r="O132" s="6" t="b">
        <x:v>1</x:v>
      </x:c>
      <x:c r="P132" s="2" t="n">
        <x:f>COUNTIF('模块测量'!$B$2:$B$801,A132)</x:f>
        <x:v>4</x:v>
      </x:c>
      <x:c r="Q132" s="2" t="str">
        <x:f t="shared" si="4">IF(P132=4,"PASS","CHECK")</x:f>
        <x:v>PASS</x:v>
      </x:c>
    </x:row>
    <x:row r="133" ht="15">
      <x:c r="A133" s="2" t="s">
        <x:v>216</x:v>
      </x:c>
      <x:c r="B133" s="2" t="s">
        <x:v>49</x:v>
      </x:c>
      <x:c r="C133" s="2">
        <x:v>2</x:v>
      </x:c>
      <x:c r="D133" s="4">
        <x:v>46186.393750000003</x:v>
      </x:c>
      <x:c r="E133" s="2">
        <x:v>12</x:v>
      </x:c>
      <x:c r="F133" s="2" t="s">
        <x:v>79</x:v>
      </x:c>
      <x:c r="G133" s="2" t="s">
        <x:v>80</x:v>
      </x:c>
      <x:c r="H133" s="2" t="s">
        <x:v>81</x:v>
      </x:c>
      <x:c r="I133" s="2" t="s">
        <x:v>82</x:v>
      </x:c>
      <x:c r="J133" s="2">
        <x:v>15</x:v>
      </x:c>
      <x:c r="K133" s="5">
        <x:v>64.2</x:v>
      </x:c>
      <x:c r="L133" s="2">
        <x:v>486</x:v>
      </x:c>
      <x:c r="M133" s="2" t="s">
        <x:v>83</x:v>
      </x:c>
      <x:c r="N133" s="2" t="s">
        <x:v>84</x:v>
      </x:c>
      <x:c r="O133" s="6" t="b">
        <x:v>1</x:v>
      </x:c>
      <x:c r="P133" s="2" t="n">
        <x:f>COUNTIF('模块测量'!$B$2:$B$801,A133)</x:f>
        <x:v>4</x:v>
      </x:c>
      <x:c r="Q133" s="2" t="str">
        <x:f t="shared" si="4">IF(P133=4,"PASS","CHECK")</x:f>
        <x:v>PASS</x:v>
      </x:c>
    </x:row>
    <x:row r="134" ht="15">
      <x:c r="A134" s="2" t="s">
        <x:v>217</x:v>
      </x:c>
      <x:c r="B134" s="2" t="s">
        <x:v>49</x:v>
      </x:c>
      <x:c r="C134" s="2">
        <x:v>3</x:v>
      </x:c>
      <x:c r="D134" s="4">
        <x:v>46193.393750000003</x:v>
      </x:c>
      <x:c r="E134" s="2">
        <x:v>19</x:v>
      </x:c>
      <x:c r="F134" s="2" t="s">
        <x:v>79</x:v>
      </x:c>
      <x:c r="G134" s="2" t="s">
        <x:v>80</x:v>
      </x:c>
      <x:c r="H134" s="2" t="s">
        <x:v>81</x:v>
      </x:c>
      <x:c r="I134" s="2" t="s">
        <x:v>82</x:v>
      </x:c>
      <x:c r="J134" s="2">
        <x:v>15</x:v>
      </x:c>
      <x:c r="K134" s="5">
        <x:v>61.6</x:v>
      </x:c>
      <x:c r="L134" s="2">
        <x:v>450</x:v>
      </x:c>
      <x:c r="M134" s="2" t="s">
        <x:v>83</x:v>
      </x:c>
      <x:c r="N134" s="2" t="s">
        <x:v>84</x:v>
      </x:c>
      <x:c r="O134" s="6" t="b">
        <x:v>1</x:v>
      </x:c>
      <x:c r="P134" s="2" t="n">
        <x:f>COUNTIF('模块测量'!$B$2:$B$801,A134)</x:f>
        <x:v>4</x:v>
      </x:c>
      <x:c r="Q134" s="2" t="str">
        <x:f t="shared" si="4">IF(P134=4,"PASS","CHECK")</x:f>
        <x:v>PASS</x:v>
      </x:c>
    </x:row>
    <x:row r="135" ht="15">
      <x:c r="A135" s="2" t="s">
        <x:v>218</x:v>
      </x:c>
      <x:c r="B135" s="2" t="s">
        <x:v>49</x:v>
      </x:c>
      <x:c r="C135" s="2">
        <x:v>4</x:v>
      </x:c>
      <x:c r="D135" s="4">
        <x:v>46200.393750000003</x:v>
      </x:c>
      <x:c r="E135" s="2">
        <x:v>26</x:v>
      </x:c>
      <x:c r="F135" s="2" t="s">
        <x:v>79</x:v>
      </x:c>
      <x:c r="G135" s="2" t="s">
        <x:v>80</x:v>
      </x:c>
      <x:c r="H135" s="2" t="s">
        <x:v>81</x:v>
      </x:c>
      <x:c r="I135" s="2" t="s">
        <x:v>82</x:v>
      </x:c>
      <x:c r="J135" s="2">
        <x:v>15</x:v>
      </x:c>
      <x:c r="K135" s="5">
        <x:v>58.8</x:v>
      </x:c>
      <x:c r="L135" s="2">
        <x:v>386</x:v>
      </x:c>
      <x:c r="M135" s="2" t="s">
        <x:v>83</x:v>
      </x:c>
      <x:c r="N135" s="2" t="s">
        <x:v>84</x:v>
      </x:c>
      <x:c r="O135" s="6" t="b">
        <x:v>1</x:v>
      </x:c>
      <x:c r="P135" s="2" t="n">
        <x:f>COUNTIF('模块测量'!$B$2:$B$801,A135)</x:f>
        <x:v>4</x:v>
      </x:c>
      <x:c r="Q135" s="2" t="str">
        <x:f t="shared" si="4">IF(P135=4,"PASS","CHECK")</x:f>
        <x:v>PASS</x:v>
      </x:c>
    </x:row>
    <x:row r="136" ht="15">
      <x:c r="A136" s="2" t="s">
        <x:v>219</x:v>
      </x:c>
      <x:c r="B136" s="2" t="s">
        <x:v>49</x:v>
      </x:c>
      <x:c r="C136" s="2">
        <x:v>5</x:v>
      </x:c>
      <x:c r="D136" s="4">
        <x:v>46207.393750000003</x:v>
      </x:c>
      <x:c r="E136" s="2">
        <x:v>33</x:v>
      </x:c>
      <x:c r="F136" s="2" t="s">
        <x:v>79</x:v>
      </x:c>
      <x:c r="G136" s="2" t="s">
        <x:v>80</x:v>
      </x:c>
      <x:c r="H136" s="2" t="s">
        <x:v>81</x:v>
      </x:c>
      <x:c r="I136" s="2" t="s">
        <x:v>82</x:v>
      </x:c>
      <x:c r="J136" s="2">
        <x:v>15</x:v>
      </x:c>
      <x:c r="K136" s="5">
        <x:v>63.2</x:v>
      </x:c>
      <x:c r="L136" s="2">
        <x:v>562</x:v>
      </x:c>
      <x:c r="M136" s="2" t="s">
        <x:v>83</x:v>
      </x:c>
      <x:c r="N136" s="2" t="s">
        <x:v>84</x:v>
      </x:c>
      <x:c r="O136" s="6" t="b">
        <x:v>1</x:v>
      </x:c>
      <x:c r="P136" s="2" t="n">
        <x:f>COUNTIF('模块测量'!$B$2:$B$801,A136)</x:f>
        <x:v>4</x:v>
      </x:c>
      <x:c r="Q136" s="2" t="str">
        <x:f t="shared" si="4">IF(P136=4,"PASS","CHECK")</x:f>
        <x:v>PASS</x:v>
      </x:c>
    </x:row>
    <x:row r="137" ht="15">
      <x:c r="A137" s="2" t="s">
        <x:v>220</x:v>
      </x:c>
      <x:c r="B137" s="2" t="s">
        <x:v>50</x:v>
      </x:c>
      <x:c r="C137" s="2">
        <x:v>1</x:v>
      </x:c>
      <x:c r="D137" s="4">
        <x:v>46180.394444444442</x:v>
      </x:c>
      <x:c r="E137" s="2">
        <x:v>6</x:v>
      </x:c>
      <x:c r="F137" s="2" t="s">
        <x:v>79</x:v>
      </x:c>
      <x:c r="G137" s="2" t="s">
        <x:v>80</x:v>
      </x:c>
      <x:c r="H137" s="2" t="s">
        <x:v>81</x:v>
      </x:c>
      <x:c r="I137" s="2" t="s">
        <x:v>82</x:v>
      </x:c>
      <x:c r="J137" s="2">
        <x:v>15</x:v>
      </x:c>
      <x:c r="K137" s="5">
        <x:v>63.4</x:v>
      </x:c>
      <x:c r="L137" s="2">
        <x:v>461</x:v>
      </x:c>
      <x:c r="M137" s="2" t="s">
        <x:v>83</x:v>
      </x:c>
      <x:c r="N137" s="2" t="s">
        <x:v>100</x:v>
      </x:c>
      <x:c r="O137" s="6" t="b">
        <x:v>1</x:v>
      </x:c>
      <x:c r="P137" s="2" t="n">
        <x:f>COUNTIF('模块测量'!$B$2:$B$801,A137)</x:f>
        <x:v>4</x:v>
      </x:c>
      <x:c r="Q137" s="2" t="str">
        <x:f t="shared" si="4">IF(P137=4,"PASS","CHECK")</x:f>
        <x:v>PASS</x:v>
      </x:c>
    </x:row>
    <x:row r="138" ht="15">
      <x:c r="A138" s="2" t="s">
        <x:v>221</x:v>
      </x:c>
      <x:c r="B138" s="2" t="s">
        <x:v>50</x:v>
      </x:c>
      <x:c r="C138" s="2">
        <x:v>2</x:v>
      </x:c>
      <x:c r="D138" s="4">
        <x:v>46187.394444444442</x:v>
      </x:c>
      <x:c r="E138" s="2">
        <x:v>13</x:v>
      </x:c>
      <x:c r="F138" s="2" t="s">
        <x:v>79</x:v>
      </x:c>
      <x:c r="G138" s="2" t="s">
        <x:v>80</x:v>
      </x:c>
      <x:c r="H138" s="2" t="s">
        <x:v>81</x:v>
      </x:c>
      <x:c r="I138" s="2" t="s">
        <x:v>82</x:v>
      </x:c>
      <x:c r="J138" s="2">
        <x:v>15</x:v>
      </x:c>
      <x:c r="K138" s="5">
        <x:v>62.3</x:v>
      </x:c>
      <x:c r="L138" s="2">
        <x:v>408</x:v>
      </x:c>
      <x:c r="M138" s="2" t="s">
        <x:v>83</x:v>
      </x:c>
      <x:c r="N138" s="2" t="s">
        <x:v>100</x:v>
      </x:c>
      <x:c r="O138" s="6" t="b">
        <x:v>1</x:v>
      </x:c>
      <x:c r="P138" s="2" t="n">
        <x:f>COUNTIF('模块测量'!$B$2:$B$801,A138)</x:f>
        <x:v>4</x:v>
      </x:c>
      <x:c r="Q138" s="2" t="str">
        <x:f t="shared" si="4">IF(P138=4,"PASS","CHECK")</x:f>
        <x:v>PASS</x:v>
      </x:c>
    </x:row>
    <x:row r="139" ht="15">
      <x:c r="A139" s="2" t="s">
        <x:v>222</x:v>
      </x:c>
      <x:c r="B139" s="2" t="s">
        <x:v>50</x:v>
      </x:c>
      <x:c r="C139" s="2">
        <x:v>3</x:v>
      </x:c>
      <x:c r="D139" s="4">
        <x:v>46194.394444444442</x:v>
      </x:c>
      <x:c r="E139" s="2">
        <x:v>20</x:v>
      </x:c>
      <x:c r="F139" s="2" t="s">
        <x:v>79</x:v>
      </x:c>
      <x:c r="G139" s="2" t="s">
        <x:v>80</x:v>
      </x:c>
      <x:c r="H139" s="2" t="s">
        <x:v>81</x:v>
      </x:c>
      <x:c r="I139" s="2" t="s">
        <x:v>82</x:v>
      </x:c>
      <x:c r="J139" s="2">
        <x:v>15</x:v>
      </x:c>
      <x:c r="K139" s="5">
        <x:v>63.4</x:v>
      </x:c>
      <x:c r="L139" s="2">
        <x:v>379</x:v>
      </x:c>
      <x:c r="M139" s="2" t="s">
        <x:v>83</x:v>
      </x:c>
      <x:c r="N139" s="2" t="s">
        <x:v>100</x:v>
      </x:c>
      <x:c r="O139" s="6" t="b">
        <x:v>1</x:v>
      </x:c>
      <x:c r="P139" s="2" t="n">
        <x:f>COUNTIF('模块测量'!$B$2:$B$801,A139)</x:f>
        <x:v>4</x:v>
      </x:c>
      <x:c r="Q139" s="2" t="str">
        <x:f t="shared" si="4">IF(P139=4,"PASS","CHECK")</x:f>
        <x:v>PASS</x:v>
      </x:c>
    </x:row>
    <x:row r="140" ht="15">
      <x:c r="A140" s="2" t="s">
        <x:v>223</x:v>
      </x:c>
      <x:c r="B140" s="2" t="s">
        <x:v>50</x:v>
      </x:c>
      <x:c r="C140" s="2">
        <x:v>4</x:v>
      </x:c>
      <x:c r="D140" s="4">
        <x:v>46201.394444444442</x:v>
      </x:c>
      <x:c r="E140" s="2">
        <x:v>27</x:v>
      </x:c>
      <x:c r="F140" s="2" t="s">
        <x:v>79</x:v>
      </x:c>
      <x:c r="G140" s="2" t="s">
        <x:v>80</x:v>
      </x:c>
      <x:c r="H140" s="2" t="s">
        <x:v>81</x:v>
      </x:c>
      <x:c r="I140" s="2" t="s">
        <x:v>82</x:v>
      </x:c>
      <x:c r="J140" s="2">
        <x:v>15</x:v>
      </x:c>
      <x:c r="K140" s="5">
        <x:v>62.8</x:v>
      </x:c>
      <x:c r="L140" s="2">
        <x:v>489</x:v>
      </x:c>
      <x:c r="M140" s="2" t="s">
        <x:v>83</x:v>
      </x:c>
      <x:c r="N140" s="2" t="s">
        <x:v>100</x:v>
      </x:c>
      <x:c r="O140" s="6" t="b">
        <x:v>1</x:v>
      </x:c>
      <x:c r="P140" s="2" t="n">
        <x:f>COUNTIF('模块测量'!$B$2:$B$801,A140)</x:f>
        <x:v>4</x:v>
      </x:c>
      <x:c r="Q140" s="2" t="str">
        <x:f t="shared" si="4">IF(P140=4,"PASS","CHECK")</x:f>
        <x:v>PASS</x:v>
      </x:c>
    </x:row>
    <x:row r="141" ht="15">
      <x:c r="A141" s="2" t="s">
        <x:v>224</x:v>
      </x:c>
      <x:c r="B141" s="2" t="s">
        <x:v>50</x:v>
      </x:c>
      <x:c r="C141" s="2">
        <x:v>5</x:v>
      </x:c>
      <x:c r="D141" s="4">
        <x:v>46208.394444444442</x:v>
      </x:c>
      <x:c r="E141" s="2">
        <x:v>34</x:v>
      </x:c>
      <x:c r="F141" s="2" t="s">
        <x:v>79</x:v>
      </x:c>
      <x:c r="G141" s="2" t="s">
        <x:v>80</x:v>
      </x:c>
      <x:c r="H141" s="2" t="s">
        <x:v>81</x:v>
      </x:c>
      <x:c r="I141" s="2" t="s">
        <x:v>82</x:v>
      </x:c>
      <x:c r="J141" s="2">
        <x:v>15</x:v>
      </x:c>
      <x:c r="K141" s="5">
        <x:v>60.8</x:v>
      </x:c>
      <x:c r="L141" s="2">
        <x:v>304</x:v>
      </x:c>
      <x:c r="M141" s="2" t="s">
        <x:v>83</x:v>
      </x:c>
      <x:c r="N141" s="2" t="s">
        <x:v>100</x:v>
      </x:c>
      <x:c r="O141" s="6" t="b">
        <x:v>1</x:v>
      </x:c>
      <x:c r="P141" s="2" t="n">
        <x:f>COUNTIF('模块测量'!$B$2:$B$801,A141)</x:f>
        <x:v>4</x:v>
      </x:c>
      <x:c r="Q141" s="2" t="str">
        <x:f t="shared" si="4">IF(P141=4,"PASS","CHECK")</x:f>
        <x:v>PASS</x:v>
      </x:c>
    </x:row>
    <x:row r="142" ht="15">
      <x:c r="A142" s="2" t="s">
        <x:v>225</x:v>
      </x:c>
      <x:c r="B142" s="2" t="s">
        <x:v>51</x:v>
      </x:c>
      <x:c r="C142" s="2">
        <x:v>1</x:v>
      </x:c>
      <x:c r="D142" s="4">
        <x:v>46174.395138888889</x:v>
      </x:c>
      <x:c r="E142" s="2">
        <x:v>0</x:v>
      </x:c>
      <x:c r="F142" s="2" t="s">
        <x:v>79</x:v>
      </x:c>
      <x:c r="G142" s="2" t="s">
        <x:v>80</x:v>
      </x:c>
      <x:c r="H142" s="2" t="s">
        <x:v>81</x:v>
      </x:c>
      <x:c r="I142" s="2" t="s">
        <x:v>82</x:v>
      </x:c>
      <x:c r="J142" s="2">
        <x:v>15</x:v>
      </x:c>
      <x:c r="K142" s="5">
        <x:v>61.1</x:v>
      </x:c>
      <x:c r="L142" s="2">
        <x:v>490</x:v>
      </x:c>
      <x:c r="M142" s="2" t="s">
        <x:v>83</x:v>
      </x:c>
      <x:c r="N142" s="2" t="s">
        <x:v>84</x:v>
      </x:c>
      <x:c r="O142" s="6" t="b">
        <x:v>1</x:v>
      </x:c>
      <x:c r="P142" s="2" t="n">
        <x:f>COUNTIF('模块测量'!$B$2:$B$801,A142)</x:f>
        <x:v>4</x:v>
      </x:c>
      <x:c r="Q142" s="2" t="str">
        <x:f t="shared" si="4">IF(P142=4,"PASS","CHECK")</x:f>
        <x:v>PASS</x:v>
      </x:c>
    </x:row>
    <x:row r="143" ht="15">
      <x:c r="A143" s="2" t="s">
        <x:v>226</x:v>
      </x:c>
      <x:c r="B143" s="2" t="s">
        <x:v>51</x:v>
      </x:c>
      <x:c r="C143" s="2">
        <x:v>2</x:v>
      </x:c>
      <x:c r="D143" s="4">
        <x:v>46181.395138888889</x:v>
      </x:c>
      <x:c r="E143" s="2">
        <x:v>7</x:v>
      </x:c>
      <x:c r="F143" s="2" t="s">
        <x:v>79</x:v>
      </x:c>
      <x:c r="G143" s="2" t="s">
        <x:v>80</x:v>
      </x:c>
      <x:c r="H143" s="2" t="s">
        <x:v>81</x:v>
      </x:c>
      <x:c r="I143" s="2" t="s">
        <x:v>82</x:v>
      </x:c>
      <x:c r="J143" s="2">
        <x:v>15</x:v>
      </x:c>
      <x:c r="K143" s="5">
        <x:v>61.2</x:v>
      </x:c>
      <x:c r="L143" s="2">
        <x:v>418</x:v>
      </x:c>
      <x:c r="M143" s="2" t="s">
        <x:v>83</x:v>
      </x:c>
      <x:c r="N143" s="2" t="s">
        <x:v>84</x:v>
      </x:c>
      <x:c r="O143" s="6" t="b">
        <x:v>1</x:v>
      </x:c>
      <x:c r="P143" s="2" t="n">
        <x:f>COUNTIF('模块测量'!$B$2:$B$801,A143)</x:f>
        <x:v>4</x:v>
      </x:c>
      <x:c r="Q143" s="2" t="str">
        <x:f t="shared" si="4">IF(P143=4,"PASS","CHECK")</x:f>
        <x:v>PASS</x:v>
      </x:c>
    </x:row>
    <x:row r="144" ht="15">
      <x:c r="A144" s="2" t="s">
        <x:v>227</x:v>
      </x:c>
      <x:c r="B144" s="2" t="s">
        <x:v>51</x:v>
      </x:c>
      <x:c r="C144" s="2">
        <x:v>3</x:v>
      </x:c>
      <x:c r="D144" s="4">
        <x:v>46188.395138888889</x:v>
      </x:c>
      <x:c r="E144" s="2">
        <x:v>14</x:v>
      </x:c>
      <x:c r="F144" s="2" t="s">
        <x:v>79</x:v>
      </x:c>
      <x:c r="G144" s="2" t="s">
        <x:v>80</x:v>
      </x:c>
      <x:c r="H144" s="2" t="s">
        <x:v>81</x:v>
      </x:c>
      <x:c r="I144" s="2" t="s">
        <x:v>82</x:v>
      </x:c>
      <x:c r="J144" s="2">
        <x:v>15</x:v>
      </x:c>
      <x:c r="K144" s="5">
        <x:v>51.4</x:v>
      </x:c>
      <x:c r="L144" s="2">
        <x:v>343</x:v>
      </x:c>
      <x:c r="M144" s="2" t="s">
        <x:v>83</x:v>
      </x:c>
      <x:c r="N144" s="2" t="s">
        <x:v>84</x:v>
      </x:c>
      <x:c r="O144" s="6" t="b">
        <x:v>1</x:v>
      </x:c>
      <x:c r="P144" s="2" t="n">
        <x:f>COUNTIF('模块测量'!$B$2:$B$801,A144)</x:f>
        <x:v>4</x:v>
      </x:c>
      <x:c r="Q144" s="2" t="str">
        <x:f t="shared" si="4">IF(P144=4,"PASS","CHECK")</x:f>
        <x:v>PASS</x:v>
      </x:c>
    </x:row>
    <x:row r="145" ht="15">
      <x:c r="A145" s="2" t="s">
        <x:v>228</x:v>
      </x:c>
      <x:c r="B145" s="2" t="s">
        <x:v>51</x:v>
      </x:c>
      <x:c r="C145" s="2">
        <x:v>4</x:v>
      </x:c>
      <x:c r="D145" s="4">
        <x:v>46195.395138888889</x:v>
      </x:c>
      <x:c r="E145" s="2">
        <x:v>21</x:v>
      </x:c>
      <x:c r="F145" s="2" t="s">
        <x:v>79</x:v>
      </x:c>
      <x:c r="G145" s="2" t="s">
        <x:v>80</x:v>
      </x:c>
      <x:c r="H145" s="2" t="s">
        <x:v>81</x:v>
      </x:c>
      <x:c r="I145" s="2" t="s">
        <x:v>82</x:v>
      </x:c>
      <x:c r="J145" s="2">
        <x:v>15</x:v>
      </x:c>
      <x:c r="K145" s="5">
        <x:v>55.4</x:v>
      </x:c>
      <x:c r="L145" s="2">
        <x:v>368</x:v>
      </x:c>
      <x:c r="M145" s="2" t="s">
        <x:v>83</x:v>
      </x:c>
      <x:c r="N145" s="2" t="s">
        <x:v>84</x:v>
      </x:c>
      <x:c r="O145" s="6" t="b">
        <x:v>1</x:v>
      </x:c>
      <x:c r="P145" s="2" t="n">
        <x:f>COUNTIF('模块测量'!$B$2:$B$801,A145)</x:f>
        <x:v>4</x:v>
      </x:c>
      <x:c r="Q145" s="2" t="str">
        <x:f t="shared" si="4">IF(P145=4,"PASS","CHECK")</x:f>
        <x:v>PASS</x:v>
      </x:c>
    </x:row>
    <x:row r="146" ht="15">
      <x:c r="A146" s="2" t="s">
        <x:v>229</x:v>
      </x:c>
      <x:c r="B146" s="2" t="s">
        <x:v>51</x:v>
      </x:c>
      <x:c r="C146" s="2">
        <x:v>5</x:v>
      </x:c>
      <x:c r="D146" s="4">
        <x:v>46202.395138888889</x:v>
      </x:c>
      <x:c r="E146" s="2">
        <x:v>28</x:v>
      </x:c>
      <x:c r="F146" s="2" t="s">
        <x:v>79</x:v>
      </x:c>
      <x:c r="G146" s="2" t="s">
        <x:v>80</x:v>
      </x:c>
      <x:c r="H146" s="2" t="s">
        <x:v>81</x:v>
      </x:c>
      <x:c r="I146" s="2" t="s">
        <x:v>82</x:v>
      </x:c>
      <x:c r="J146" s="2">
        <x:v>15</x:v>
      </x:c>
      <x:c r="K146" s="5">
        <x:v>59</x:v>
      </x:c>
      <x:c r="L146" s="2">
        <x:v>400</x:v>
      </x:c>
      <x:c r="M146" s="2" t="s">
        <x:v>83</x:v>
      </x:c>
      <x:c r="N146" s="2" t="s">
        <x:v>84</x:v>
      </x:c>
      <x:c r="O146" s="6" t="b">
        <x:v>1</x:v>
      </x:c>
      <x:c r="P146" s="2" t="n">
        <x:f>COUNTIF('模块测量'!$B$2:$B$801,A146)</x:f>
        <x:v>4</x:v>
      </x:c>
      <x:c r="Q146" s="2" t="str">
        <x:f t="shared" si="4">IF(P146=4,"PASS","CHECK")</x:f>
        <x:v>PASS</x:v>
      </x:c>
    </x:row>
    <x:row r="147" ht="15">
      <x:c r="A147" s="2" t="s">
        <x:v>230</x:v>
      </x:c>
      <x:c r="B147" s="2" t="s">
        <x:v>52</x:v>
      </x:c>
      <x:c r="C147" s="2">
        <x:v>1</x:v>
      </x:c>
      <x:c r="D147" s="4">
        <x:v>46175.395833333336</x:v>
      </x:c>
      <x:c r="E147" s="2">
        <x:v>1</x:v>
      </x:c>
      <x:c r="F147" s="2" t="s">
        <x:v>79</x:v>
      </x:c>
      <x:c r="G147" s="2" t="s">
        <x:v>80</x:v>
      </x:c>
      <x:c r="H147" s="2" t="s">
        <x:v>81</x:v>
      </x:c>
      <x:c r="I147" s="2" t="s">
        <x:v>82</x:v>
      </x:c>
      <x:c r="J147" s="2">
        <x:v>15</x:v>
      </x:c>
      <x:c r="K147" s="5">
        <x:v>63.5</x:v>
      </x:c>
      <x:c r="L147" s="2">
        <x:v>379</x:v>
      </x:c>
      <x:c r="M147" s="2" t="s">
        <x:v>83</x:v>
      </x:c>
      <x:c r="N147" s="2" t="s">
        <x:v>84</x:v>
      </x:c>
      <x:c r="O147" s="6" t="b">
        <x:v>1</x:v>
      </x:c>
      <x:c r="P147" s="2" t="n">
        <x:f>COUNTIF('模块测量'!$B$2:$B$801,A147)</x:f>
        <x:v>4</x:v>
      </x:c>
      <x:c r="Q147" s="2" t="str">
        <x:f t="shared" si="4">IF(P147=4,"PASS","CHECK")</x:f>
        <x:v>PASS</x:v>
      </x:c>
    </x:row>
    <x:row r="148" ht="15">
      <x:c r="A148" s="2" t="s">
        <x:v>231</x:v>
      </x:c>
      <x:c r="B148" s="2" t="s">
        <x:v>52</x:v>
      </x:c>
      <x:c r="C148" s="2">
        <x:v>2</x:v>
      </x:c>
      <x:c r="D148" s="4">
        <x:v>46182.395833333336</x:v>
      </x:c>
      <x:c r="E148" s="2">
        <x:v>8</x:v>
      </x:c>
      <x:c r="F148" s="2" t="s">
        <x:v>79</x:v>
      </x:c>
      <x:c r="G148" s="2" t="s">
        <x:v>80</x:v>
      </x:c>
      <x:c r="H148" s="2" t="s">
        <x:v>81</x:v>
      </x:c>
      <x:c r="I148" s="2" t="s">
        <x:v>82</x:v>
      </x:c>
      <x:c r="J148" s="2">
        <x:v>15</x:v>
      </x:c>
      <x:c r="K148" s="5">
        <x:v>55.8</x:v>
      </x:c>
      <x:c r="L148" s="2">
        <x:v>446</x:v>
      </x:c>
      <x:c r="M148" s="2" t="s">
        <x:v>83</x:v>
      </x:c>
      <x:c r="N148" s="2" t="s">
        <x:v>84</x:v>
      </x:c>
      <x:c r="O148" s="6" t="b">
        <x:v>1</x:v>
      </x:c>
      <x:c r="P148" s="2" t="n">
        <x:f>COUNTIF('模块测量'!$B$2:$B$801,A148)</x:f>
        <x:v>4</x:v>
      </x:c>
      <x:c r="Q148" s="2" t="str">
        <x:f t="shared" si="4">IF(P148=4,"PASS","CHECK")</x:f>
        <x:v>PASS</x:v>
      </x:c>
    </x:row>
    <x:row r="149" ht="15">
      <x:c r="A149" s="2" t="s">
        <x:v>232</x:v>
      </x:c>
      <x:c r="B149" s="2" t="s">
        <x:v>52</x:v>
      </x:c>
      <x:c r="C149" s="2">
        <x:v>3</x:v>
      </x:c>
      <x:c r="D149" s="4">
        <x:v>46189.395833333336</x:v>
      </x:c>
      <x:c r="E149" s="2">
        <x:v>15</x:v>
      </x:c>
      <x:c r="F149" s="2" t="s">
        <x:v>79</x:v>
      </x:c>
      <x:c r="G149" s="2" t="s">
        <x:v>80</x:v>
      </x:c>
      <x:c r="H149" s="2" t="s">
        <x:v>81</x:v>
      </x:c>
      <x:c r="I149" s="2" t="s">
        <x:v>82</x:v>
      </x:c>
      <x:c r="J149" s="2">
        <x:v>15</x:v>
      </x:c>
      <x:c r="K149" s="5">
        <x:v>63.6</x:v>
      </x:c>
      <x:c r="L149" s="2">
        <x:v>337</x:v>
      </x:c>
      <x:c r="M149" s="2" t="s">
        <x:v>83</x:v>
      </x:c>
      <x:c r="N149" s="2" t="s">
        <x:v>84</x:v>
      </x:c>
      <x:c r="O149" s="6" t="b">
        <x:v>1</x:v>
      </x:c>
      <x:c r="P149" s="2" t="n">
        <x:f>COUNTIF('模块测量'!$B$2:$B$801,A149)</x:f>
        <x:v>4</x:v>
      </x:c>
      <x:c r="Q149" s="2" t="str">
        <x:f t="shared" si="4">IF(P149=4,"PASS","CHECK")</x:f>
        <x:v>PASS</x:v>
      </x:c>
    </x:row>
    <x:row r="150" ht="15">
      <x:c r="A150" s="2" t="s">
        <x:v>233</x:v>
      </x:c>
      <x:c r="B150" s="2" t="s">
        <x:v>52</x:v>
      </x:c>
      <x:c r="C150" s="2">
        <x:v>4</x:v>
      </x:c>
      <x:c r="D150" s="4">
        <x:v>46196.395833333336</x:v>
      </x:c>
      <x:c r="E150" s="2">
        <x:v>22</x:v>
      </x:c>
      <x:c r="F150" s="2" t="s">
        <x:v>79</x:v>
      </x:c>
      <x:c r="G150" s="2" t="s">
        <x:v>80</x:v>
      </x:c>
      <x:c r="H150" s="2" t="s">
        <x:v>81</x:v>
      </x:c>
      <x:c r="I150" s="2" t="s">
        <x:v>82</x:v>
      </x:c>
      <x:c r="J150" s="2">
        <x:v>15</x:v>
      </x:c>
      <x:c r="K150" s="5">
        <x:v>64.599999999999994</x:v>
      </x:c>
      <x:c r="L150" s="2">
        <x:v>418</x:v>
      </x:c>
      <x:c r="M150" s="2" t="s">
        <x:v>83</x:v>
      </x:c>
      <x:c r="N150" s="2" t="s">
        <x:v>84</x:v>
      </x:c>
      <x:c r="O150" s="6" t="b">
        <x:v>1</x:v>
      </x:c>
      <x:c r="P150" s="2" t="n">
        <x:f>COUNTIF('模块测量'!$B$2:$B$801,A150)</x:f>
        <x:v>4</x:v>
      </x:c>
      <x:c r="Q150" s="2" t="str">
        <x:f t="shared" si="4">IF(P150=4,"PASS","CHECK")</x:f>
        <x:v>PASS</x:v>
      </x:c>
    </x:row>
    <x:row r="151" ht="15">
      <x:c r="A151" s="2" t="s">
        <x:v>234</x:v>
      </x:c>
      <x:c r="B151" s="2" t="s">
        <x:v>52</x:v>
      </x:c>
      <x:c r="C151" s="2">
        <x:v>5</x:v>
      </x:c>
      <x:c r="D151" s="4">
        <x:v>46203.395833333336</x:v>
      </x:c>
      <x:c r="E151" s="2">
        <x:v>29</x:v>
      </x:c>
      <x:c r="F151" s="2" t="s">
        <x:v>79</x:v>
      </x:c>
      <x:c r="G151" s="2" t="s">
        <x:v>80</x:v>
      </x:c>
      <x:c r="H151" s="2" t="s">
        <x:v>81</x:v>
      </x:c>
      <x:c r="I151" s="2" t="s">
        <x:v>82</x:v>
      </x:c>
      <x:c r="J151" s="2">
        <x:v>15</x:v>
      </x:c>
      <x:c r="K151" s="5">
        <x:v>58.2</x:v>
      </x:c>
      <x:c r="L151" s="2">
        <x:v>293</x:v>
      </x:c>
      <x:c r="M151" s="2" t="s">
        <x:v>83</x:v>
      </x:c>
      <x:c r="N151" s="2" t="s">
        <x:v>84</x:v>
      </x:c>
      <x:c r="O151" s="6" t="b">
        <x:v>1</x:v>
      </x:c>
      <x:c r="P151" s="2" t="n">
        <x:f>COUNTIF('模块测量'!$B$2:$B$801,A151)</x:f>
        <x:v>4</x:v>
      </x:c>
      <x:c r="Q151" s="2" t="str">
        <x:f t="shared" si="4">IF(P151=4,"PASS","CHECK")</x:f>
        <x:v>PASS</x:v>
      </x:c>
    </x:row>
    <x:row r="152" ht="15">
      <x:c r="A152" s="2" t="s">
        <x:v>235</x:v>
      </x:c>
      <x:c r="B152" s="2" t="s">
        <x:v>53</x:v>
      </x:c>
      <x:c r="C152" s="2">
        <x:v>1</x:v>
      </x:c>
      <x:c r="D152" s="4">
        <x:v>46176.396527777775</x:v>
      </x:c>
      <x:c r="E152" s="2">
        <x:v>2</x:v>
      </x:c>
      <x:c r="F152" s="2" t="s">
        <x:v>79</x:v>
      </x:c>
      <x:c r="G152" s="2" t="s">
        <x:v>80</x:v>
      </x:c>
      <x:c r="H152" s="2" t="s">
        <x:v>81</x:v>
      </x:c>
      <x:c r="I152" s="2" t="s">
        <x:v>82</x:v>
      </x:c>
      <x:c r="J152" s="2">
        <x:v>15</x:v>
      </x:c>
      <x:c r="K152" s="5">
        <x:v>60.5</x:v>
      </x:c>
      <x:c r="L152" s="2">
        <x:v>555</x:v>
      </x:c>
      <x:c r="M152" s="2" t="s">
        <x:v>83</x:v>
      </x:c>
      <x:c r="N152" s="2" t="s">
        <x:v>84</x:v>
      </x:c>
      <x:c r="O152" s="6" t="b">
        <x:v>1</x:v>
      </x:c>
      <x:c r="P152" s="2" t="n">
        <x:f>COUNTIF('模块测量'!$B$2:$B$801,A152)</x:f>
        <x:v>4</x:v>
      </x:c>
      <x:c r="Q152" s="2" t="str">
        <x:f t="shared" si="4">IF(P152=4,"PASS","CHECK")</x:f>
        <x:v>PASS</x:v>
      </x:c>
    </x:row>
    <x:row r="153" ht="15">
      <x:c r="A153" s="2" t="s">
        <x:v>236</x:v>
      </x:c>
      <x:c r="B153" s="2" t="s">
        <x:v>53</x:v>
      </x:c>
      <x:c r="C153" s="2">
        <x:v>2</x:v>
      </x:c>
      <x:c r="D153" s="4">
        <x:v>46183.396527777775</x:v>
      </x:c>
      <x:c r="E153" s="2">
        <x:v>9</x:v>
      </x:c>
      <x:c r="F153" s="2" t="s">
        <x:v>79</x:v>
      </x:c>
      <x:c r="G153" s="2" t="s">
        <x:v>80</x:v>
      </x:c>
      <x:c r="H153" s="2" t="s">
        <x:v>81</x:v>
      </x:c>
      <x:c r="I153" s="2" t="s">
        <x:v>82</x:v>
      </x:c>
      <x:c r="J153" s="2">
        <x:v>15</x:v>
      </x:c>
      <x:c r="K153" s="5">
        <x:v>61.8</x:v>
      </x:c>
      <x:c r="L153" s="2">
        <x:v>511</x:v>
      </x:c>
      <x:c r="M153" s="2" t="s">
        <x:v>83</x:v>
      </x:c>
      <x:c r="N153" s="2" t="s">
        <x:v>84</x:v>
      </x:c>
      <x:c r="O153" s="6" t="b">
        <x:v>1</x:v>
      </x:c>
      <x:c r="P153" s="2" t="n">
        <x:f>COUNTIF('模块测量'!$B$2:$B$801,A153)</x:f>
        <x:v>4</x:v>
      </x:c>
      <x:c r="Q153" s="2" t="str">
        <x:f t="shared" si="4">IF(P153=4,"PASS","CHECK")</x:f>
        <x:v>PASS</x:v>
      </x:c>
    </x:row>
    <x:row r="154" ht="15">
      <x:c r="A154" s="2" t="s">
        <x:v>237</x:v>
      </x:c>
      <x:c r="B154" s="2" t="s">
        <x:v>53</x:v>
      </x:c>
      <x:c r="C154" s="2">
        <x:v>3</x:v>
      </x:c>
      <x:c r="D154" s="4">
        <x:v>46190.396527777775</x:v>
      </x:c>
      <x:c r="E154" s="2">
        <x:v>16</x:v>
      </x:c>
      <x:c r="F154" s="2" t="s">
        <x:v>79</x:v>
      </x:c>
      <x:c r="G154" s="2" t="s">
        <x:v>80</x:v>
      </x:c>
      <x:c r="H154" s="2" t="s">
        <x:v>81</x:v>
      </x:c>
      <x:c r="I154" s="2" t="s">
        <x:v>82</x:v>
      </x:c>
      <x:c r="J154" s="2">
        <x:v>15</x:v>
      </x:c>
      <x:c r="K154" s="5">
        <x:v>59.4</x:v>
      </x:c>
      <x:c r="L154" s="2">
        <x:v>427</x:v>
      </x:c>
      <x:c r="M154" s="2" t="s">
        <x:v>83</x:v>
      </x:c>
      <x:c r="N154" s="2" t="s">
        <x:v>84</x:v>
      </x:c>
      <x:c r="O154" s="6" t="b">
        <x:v>1</x:v>
      </x:c>
      <x:c r="P154" s="2" t="n">
        <x:f>COUNTIF('模块测量'!$B$2:$B$801,A154)</x:f>
        <x:v>4</x:v>
      </x:c>
      <x:c r="Q154" s="2" t="str">
        <x:f t="shared" si="4">IF(P154=4,"PASS","CHECK")</x:f>
        <x:v>PASS</x:v>
      </x:c>
    </x:row>
    <x:row r="155" ht="15">
      <x:c r="A155" s="2" t="s">
        <x:v>238</x:v>
      </x:c>
      <x:c r="B155" s="2" t="s">
        <x:v>53</x:v>
      </x:c>
      <x:c r="C155" s="2">
        <x:v>4</x:v>
      </x:c>
      <x:c r="D155" s="4">
        <x:v>46197.396527777775</x:v>
      </x:c>
      <x:c r="E155" s="2">
        <x:v>23</x:v>
      </x:c>
      <x:c r="F155" s="2" t="s">
        <x:v>79</x:v>
      </x:c>
      <x:c r="G155" s="2" t="s">
        <x:v>80</x:v>
      </x:c>
      <x:c r="H155" s="2" t="s">
        <x:v>81</x:v>
      </x:c>
      <x:c r="I155" s="2" t="s">
        <x:v>82</x:v>
      </x:c>
      <x:c r="J155" s="2">
        <x:v>15</x:v>
      </x:c>
      <x:c r="K155" s="5">
        <x:v>56</x:v>
      </x:c>
      <x:c r="L155" s="2">
        <x:v>392</x:v>
      </x:c>
      <x:c r="M155" s="2" t="s">
        <x:v>83</x:v>
      </x:c>
      <x:c r="N155" s="2" t="s">
        <x:v>84</x:v>
      </x:c>
      <x:c r="O155" s="6" t="b">
        <x:v>1</x:v>
      </x:c>
      <x:c r="P155" s="2" t="n">
        <x:f>COUNTIF('模块测量'!$B$2:$B$801,A155)</x:f>
        <x:v>4</x:v>
      </x:c>
      <x:c r="Q155" s="2" t="str">
        <x:f t="shared" si="4">IF(P155=4,"PASS","CHECK")</x:f>
        <x:v>PASS</x:v>
      </x:c>
    </x:row>
    <x:row r="156" ht="15">
      <x:c r="A156" s="2" t="s">
        <x:v>239</x:v>
      </x:c>
      <x:c r="B156" s="2" t="s">
        <x:v>53</x:v>
      </x:c>
      <x:c r="C156" s="2">
        <x:v>5</x:v>
      </x:c>
      <x:c r="D156" s="4">
        <x:v>46204.396527777775</x:v>
      </x:c>
      <x:c r="E156" s="2">
        <x:v>30</x:v>
      </x:c>
      <x:c r="F156" s="2" t="s">
        <x:v>79</x:v>
      </x:c>
      <x:c r="G156" s="2" t="s">
        <x:v>80</x:v>
      </x:c>
      <x:c r="H156" s="2" t="s">
        <x:v>81</x:v>
      </x:c>
      <x:c r="I156" s="2" t="s">
        <x:v>82</x:v>
      </x:c>
      <x:c r="J156" s="2">
        <x:v>15</x:v>
      </x:c>
      <x:c r="K156" s="5">
        <x:v>58.7</x:v>
      </x:c>
      <x:c r="L156" s="2">
        <x:v>364</x:v>
      </x:c>
      <x:c r="M156" s="2" t="s">
        <x:v>83</x:v>
      </x:c>
      <x:c r="N156" s="2" t="s">
        <x:v>84</x:v>
      </x:c>
      <x:c r="O156" s="6" t="b">
        <x:v>1</x:v>
      </x:c>
      <x:c r="P156" s="2" t="n">
        <x:f>COUNTIF('模块测量'!$B$2:$B$801,A156)</x:f>
        <x:v>4</x:v>
      </x:c>
      <x:c r="Q156" s="2" t="str">
        <x:f t="shared" si="4">IF(P156=4,"PASS","CHECK")</x:f>
        <x:v>PASS</x:v>
      </x:c>
    </x:row>
    <x:row r="157" ht="15">
      <x:c r="A157" s="2" t="s">
        <x:v>240</x:v>
      </x:c>
      <x:c r="B157" s="2" t="s">
        <x:v>54</x:v>
      </x:c>
      <x:c r="C157" s="2">
        <x:v>1</x:v>
      </x:c>
      <x:c r="D157" s="4">
        <x:v>46177.397222222222</x:v>
      </x:c>
      <x:c r="E157" s="2">
        <x:v>3</x:v>
      </x:c>
      <x:c r="F157" s="2" t="s">
        <x:v>79</x:v>
      </x:c>
      <x:c r="G157" s="2" t="s">
        <x:v>80</x:v>
      </x:c>
      <x:c r="H157" s="2" t="s">
        <x:v>81</x:v>
      </x:c>
      <x:c r="I157" s="2" t="s">
        <x:v>82</x:v>
      </x:c>
      <x:c r="J157" s="2">
        <x:v>15</x:v>
      </x:c>
      <x:c r="K157" s="5">
        <x:v>61.4</x:v>
      </x:c>
      <x:c r="L157" s="2">
        <x:v>231</x:v>
      </x:c>
      <x:c r="M157" s="2" t="s">
        <x:v>83</x:v>
      </x:c>
      <x:c r="N157" s="2" t="s">
        <x:v>100</x:v>
      </x:c>
      <x:c r="O157" s="6" t="b">
        <x:v>1</x:v>
      </x:c>
      <x:c r="P157" s="2" t="n">
        <x:f>COUNTIF('模块测量'!$B$2:$B$801,A157)</x:f>
        <x:v>4</x:v>
      </x:c>
      <x:c r="Q157" s="2" t="str">
        <x:f t="shared" si="4">IF(P157=4,"PASS","CHECK")</x:f>
        <x:v>PASS</x:v>
      </x:c>
    </x:row>
    <x:row r="158" ht="15">
      <x:c r="A158" s="2" t="s">
        <x:v>241</x:v>
      </x:c>
      <x:c r="B158" s="2" t="s">
        <x:v>54</x:v>
      </x:c>
      <x:c r="C158" s="2">
        <x:v>2</x:v>
      </x:c>
      <x:c r="D158" s="4">
        <x:v>46184.397222222222</x:v>
      </x:c>
      <x:c r="E158" s="2">
        <x:v>10</x:v>
      </x:c>
      <x:c r="F158" s="2" t="s">
        <x:v>79</x:v>
      </x:c>
      <x:c r="G158" s="2" t="s">
        <x:v>80</x:v>
      </x:c>
      <x:c r="H158" s="2" t="s">
        <x:v>81</x:v>
      </x:c>
      <x:c r="I158" s="2" t="s">
        <x:v>82</x:v>
      </x:c>
      <x:c r="J158" s="2">
        <x:v>15</x:v>
      </x:c>
      <x:c r="K158" s="5">
        <x:v>65.5</x:v>
      </x:c>
      <x:c r="L158" s="2">
        <x:v>557</x:v>
      </x:c>
      <x:c r="M158" s="2" t="s">
        <x:v>83</x:v>
      </x:c>
      <x:c r="N158" s="2" t="s">
        <x:v>100</x:v>
      </x:c>
      <x:c r="O158" s="6" t="b">
        <x:v>1</x:v>
      </x:c>
      <x:c r="P158" s="2" t="n">
        <x:f>COUNTIF('模块测量'!$B$2:$B$801,A158)</x:f>
        <x:v>4</x:v>
      </x:c>
      <x:c r="Q158" s="2" t="str">
        <x:f t="shared" si="4">IF(P158=4,"PASS","CHECK")</x:f>
        <x:v>PASS</x:v>
      </x:c>
    </x:row>
    <x:row r="159" ht="15">
      <x:c r="A159" s="2" t="s">
        <x:v>242</x:v>
      </x:c>
      <x:c r="B159" s="2" t="s">
        <x:v>54</x:v>
      </x:c>
      <x:c r="C159" s="2">
        <x:v>3</x:v>
      </x:c>
      <x:c r="D159" s="4">
        <x:v>46191.397222222222</x:v>
      </x:c>
      <x:c r="E159" s="2">
        <x:v>17</x:v>
      </x:c>
      <x:c r="F159" s="2" t="s">
        <x:v>79</x:v>
      </x:c>
      <x:c r="G159" s="2" t="s">
        <x:v>80</x:v>
      </x:c>
      <x:c r="H159" s="2" t="s">
        <x:v>81</x:v>
      </x:c>
      <x:c r="I159" s="2" t="s">
        <x:v>82</x:v>
      </x:c>
      <x:c r="J159" s="2">
        <x:v>15</x:v>
      </x:c>
      <x:c r="K159" s="5">
        <x:v>58.9</x:v>
      </x:c>
      <x:c r="L159" s="2">
        <x:v>426</x:v>
      </x:c>
      <x:c r="M159" s="2" t="s">
        <x:v>83</x:v>
      </x:c>
      <x:c r="N159" s="2" t="s">
        <x:v>100</x:v>
      </x:c>
      <x:c r="O159" s="6" t="b">
        <x:v>1</x:v>
      </x:c>
      <x:c r="P159" s="2" t="n">
        <x:f>COUNTIF('模块测量'!$B$2:$B$801,A159)</x:f>
        <x:v>4</x:v>
      </x:c>
      <x:c r="Q159" s="2" t="str">
        <x:f t="shared" si="4">IF(P159=4,"PASS","CHECK")</x:f>
        <x:v>PASS</x:v>
      </x:c>
    </x:row>
    <x:row r="160" ht="15">
      <x:c r="A160" s="2" t="s">
        <x:v>243</x:v>
      </x:c>
      <x:c r="B160" s="2" t="s">
        <x:v>54</x:v>
      </x:c>
      <x:c r="C160" s="2">
        <x:v>4</x:v>
      </x:c>
      <x:c r="D160" s="4">
        <x:v>46198.397222222222</x:v>
      </x:c>
      <x:c r="E160" s="2">
        <x:v>24</x:v>
      </x:c>
      <x:c r="F160" s="2" t="s">
        <x:v>79</x:v>
      </x:c>
      <x:c r="G160" s="2" t="s">
        <x:v>80</x:v>
      </x:c>
      <x:c r="H160" s="2" t="s">
        <x:v>81</x:v>
      </x:c>
      <x:c r="I160" s="2" t="s">
        <x:v>82</x:v>
      </x:c>
      <x:c r="J160" s="2">
        <x:v>15</x:v>
      </x:c>
      <x:c r="K160" s="5">
        <x:v>65.400000000000006</x:v>
      </x:c>
      <x:c r="L160" s="2">
        <x:v>443</x:v>
      </x:c>
      <x:c r="M160" s="2" t="s">
        <x:v>83</x:v>
      </x:c>
      <x:c r="N160" s="2" t="s">
        <x:v>100</x:v>
      </x:c>
      <x:c r="O160" s="6" t="b">
        <x:v>1</x:v>
      </x:c>
      <x:c r="P160" s="2" t="n">
        <x:f>COUNTIF('模块测量'!$B$2:$B$801,A160)</x:f>
        <x:v>4</x:v>
      </x:c>
      <x:c r="Q160" s="2" t="str">
        <x:f t="shared" si="4">IF(P160=4,"PASS","CHECK")</x:f>
        <x:v>PASS</x:v>
      </x:c>
    </x:row>
    <x:row r="161" ht="15">
      <x:c r="A161" s="2" t="s">
        <x:v>244</x:v>
      </x:c>
      <x:c r="B161" s="2" t="s">
        <x:v>54</x:v>
      </x:c>
      <x:c r="C161" s="2">
        <x:v>5</x:v>
      </x:c>
      <x:c r="D161" s="4">
        <x:v>46205.397222222222</x:v>
      </x:c>
      <x:c r="E161" s="2">
        <x:v>31</x:v>
      </x:c>
      <x:c r="F161" s="2" t="s">
        <x:v>79</x:v>
      </x:c>
      <x:c r="G161" s="2" t="s">
        <x:v>80</x:v>
      </x:c>
      <x:c r="H161" s="2" t="s">
        <x:v>81</x:v>
      </x:c>
      <x:c r="I161" s="2" t="s">
        <x:v>82</x:v>
      </x:c>
      <x:c r="J161" s="2">
        <x:v>15</x:v>
      </x:c>
      <x:c r="K161" s="5">
        <x:v>60.7</x:v>
      </x:c>
      <x:c r="L161" s="2">
        <x:v>560</x:v>
      </x:c>
      <x:c r="M161" s="2" t="s">
        <x:v>83</x:v>
      </x:c>
      <x:c r="N161" s="2" t="s">
        <x:v>100</x:v>
      </x:c>
      <x:c r="O161" s="6" t="b">
        <x:v>1</x:v>
      </x:c>
      <x:c r="P161" s="2" t="n">
        <x:f>COUNTIF('模块测量'!$B$2:$B$801,A161)</x:f>
        <x:v>4</x:v>
      </x:c>
      <x:c r="Q161" s="2" t="str">
        <x:f t="shared" si="4">IF(P161=4,"PASS","CHECK")</x:f>
        <x:v>PASS</x:v>
      </x:c>
    </x:row>
    <x:row r="162" ht="15">
      <x:c r="A162" s="2" t="s">
        <x:v>245</x:v>
      </x:c>
      <x:c r="B162" s="2" t="s">
        <x:v>55</x:v>
      </x:c>
      <x:c r="C162" s="2">
        <x:v>1</x:v>
      </x:c>
      <x:c r="D162" s="4">
        <x:v>46178.397916666669</x:v>
      </x:c>
      <x:c r="E162" s="2">
        <x:v>4</x:v>
      </x:c>
      <x:c r="F162" s="2" t="s">
        <x:v>79</x:v>
      </x:c>
      <x:c r="G162" s="2" t="s">
        <x:v>80</x:v>
      </x:c>
      <x:c r="H162" s="2" t="s">
        <x:v>81</x:v>
      </x:c>
      <x:c r="I162" s="2" t="s">
        <x:v>82</x:v>
      </x:c>
      <x:c r="J162" s="2">
        <x:v>15</x:v>
      </x:c>
      <x:c r="K162" s="5">
        <x:v>60.9</x:v>
      </x:c>
      <x:c r="L162" s="2">
        <x:v>332</x:v>
      </x:c>
      <x:c r="M162" s="2" t="s">
        <x:v>83</x:v>
      </x:c>
      <x:c r="N162" s="2" t="s">
        <x:v>84</x:v>
      </x:c>
      <x:c r="O162" s="6" t="b">
        <x:v>1</x:v>
      </x:c>
      <x:c r="P162" s="2" t="n">
        <x:f>COUNTIF('模块测量'!$B$2:$B$801,A162)</x:f>
        <x:v>4</x:v>
      </x:c>
      <x:c r="Q162" s="2" t="str">
        <x:f t="shared" ref="Q162:Q193" si="5">IF(P162=4,"PASS","CHECK")</x:f>
        <x:v>PASS</x:v>
      </x:c>
    </x:row>
    <x:row r="163" ht="15">
      <x:c r="A163" s="2" t="s">
        <x:v>246</x:v>
      </x:c>
      <x:c r="B163" s="2" t="s">
        <x:v>55</x:v>
      </x:c>
      <x:c r="C163" s="2">
        <x:v>2</x:v>
      </x:c>
      <x:c r="D163" s="4">
        <x:v>46185.397916666669</x:v>
      </x:c>
      <x:c r="E163" s="2">
        <x:v>11</x:v>
      </x:c>
      <x:c r="F163" s="2" t="s">
        <x:v>79</x:v>
      </x:c>
      <x:c r="G163" s="2" t="s">
        <x:v>80</x:v>
      </x:c>
      <x:c r="H163" s="2" t="s">
        <x:v>81</x:v>
      </x:c>
      <x:c r="I163" s="2" t="s">
        <x:v>82</x:v>
      </x:c>
      <x:c r="J163" s="2">
        <x:v>15</x:v>
      </x:c>
      <x:c r="K163" s="5">
        <x:v>60.1</x:v>
      </x:c>
      <x:c r="L163" s="2">
        <x:v>522</x:v>
      </x:c>
      <x:c r="M163" s="2" t="s">
        <x:v>83</x:v>
      </x:c>
      <x:c r="N163" s="2" t="s">
        <x:v>84</x:v>
      </x:c>
      <x:c r="O163" s="6" t="b">
        <x:v>1</x:v>
      </x:c>
      <x:c r="P163" s="2" t="n">
        <x:f>COUNTIF('模块测量'!$B$2:$B$801,A163)</x:f>
        <x:v>4</x:v>
      </x:c>
      <x:c r="Q163" s="2" t="str">
        <x:f t="shared" si="5">IF(P163=4,"PASS","CHECK")</x:f>
        <x:v>PASS</x:v>
      </x:c>
    </x:row>
    <x:row r="164" ht="15">
      <x:c r="A164" s="2" t="s">
        <x:v>247</x:v>
      </x:c>
      <x:c r="B164" s="2" t="s">
        <x:v>55</x:v>
      </x:c>
      <x:c r="C164" s="2">
        <x:v>3</x:v>
      </x:c>
      <x:c r="D164" s="4">
        <x:v>46192.397916666669</x:v>
      </x:c>
      <x:c r="E164" s="2">
        <x:v>18</x:v>
      </x:c>
      <x:c r="F164" s="2" t="s">
        <x:v>79</x:v>
      </x:c>
      <x:c r="G164" s="2" t="s">
        <x:v>80</x:v>
      </x:c>
      <x:c r="H164" s="2" t="s">
        <x:v>81</x:v>
      </x:c>
      <x:c r="I164" s="2" t="s">
        <x:v>82</x:v>
      </x:c>
      <x:c r="J164" s="2">
        <x:v>15</x:v>
      </x:c>
      <x:c r="K164" s="5">
        <x:v>62.7</x:v>
      </x:c>
      <x:c r="L164" s="2">
        <x:v>311</x:v>
      </x:c>
      <x:c r="M164" s="2" t="s">
        <x:v>83</x:v>
      </x:c>
      <x:c r="N164" s="2" t="s">
        <x:v>84</x:v>
      </x:c>
      <x:c r="O164" s="6" t="b">
        <x:v>1</x:v>
      </x:c>
      <x:c r="P164" s="2" t="n">
        <x:f>COUNTIF('模块测量'!$B$2:$B$801,A164)</x:f>
        <x:v>4</x:v>
      </x:c>
      <x:c r="Q164" s="2" t="str">
        <x:f t="shared" si="5">IF(P164=4,"PASS","CHECK")</x:f>
        <x:v>PASS</x:v>
      </x:c>
    </x:row>
    <x:row r="165" ht="15">
      <x:c r="A165" s="2" t="s">
        <x:v>248</x:v>
      </x:c>
      <x:c r="B165" s="2" t="s">
        <x:v>55</x:v>
      </x:c>
      <x:c r="C165" s="2">
        <x:v>4</x:v>
      </x:c>
      <x:c r="D165" s="4">
        <x:v>46199.397916666669</x:v>
      </x:c>
      <x:c r="E165" s="2">
        <x:v>25</x:v>
      </x:c>
      <x:c r="F165" s="2" t="s">
        <x:v>79</x:v>
      </x:c>
      <x:c r="G165" s="2" t="s">
        <x:v>80</x:v>
      </x:c>
      <x:c r="H165" s="2" t="s">
        <x:v>81</x:v>
      </x:c>
      <x:c r="I165" s="2" t="s">
        <x:v>82</x:v>
      </x:c>
      <x:c r="J165" s="2">
        <x:v>15</x:v>
      </x:c>
      <x:c r="K165" s="5">
        <x:v>61.1</x:v>
      </x:c>
      <x:c r="L165" s="2">
        <x:v>586</x:v>
      </x:c>
      <x:c r="M165" s="2" t="s">
        <x:v>83</x:v>
      </x:c>
      <x:c r="N165" s="2" t="s">
        <x:v>84</x:v>
      </x:c>
      <x:c r="O165" s="6" t="b">
        <x:v>1</x:v>
      </x:c>
      <x:c r="P165" s="2" t="n">
        <x:f>COUNTIF('模块测量'!$B$2:$B$801,A165)</x:f>
        <x:v>4</x:v>
      </x:c>
      <x:c r="Q165" s="2" t="str">
        <x:f t="shared" si="5">IF(P165=4,"PASS","CHECK")</x:f>
        <x:v>PASS</x:v>
      </x:c>
    </x:row>
    <x:row r="166" ht="15">
      <x:c r="A166" s="2" t="s">
        <x:v>249</x:v>
      </x:c>
      <x:c r="B166" s="2" t="s">
        <x:v>55</x:v>
      </x:c>
      <x:c r="C166" s="2">
        <x:v>5</x:v>
      </x:c>
      <x:c r="D166" s="4">
        <x:v>46206.397916666669</x:v>
      </x:c>
      <x:c r="E166" s="2">
        <x:v>32</x:v>
      </x:c>
      <x:c r="F166" s="2" t="s">
        <x:v>79</x:v>
      </x:c>
      <x:c r="G166" s="2" t="s">
        <x:v>80</x:v>
      </x:c>
      <x:c r="H166" s="2" t="s">
        <x:v>81</x:v>
      </x:c>
      <x:c r="I166" s="2" t="s">
        <x:v>82</x:v>
      </x:c>
      <x:c r="J166" s="2">
        <x:v>15</x:v>
      </x:c>
      <x:c r="K166" s="5">
        <x:v>67</x:v>
      </x:c>
      <x:c r="L166" s="2">
        <x:v>452</x:v>
      </x:c>
      <x:c r="M166" s="2" t="s">
        <x:v>83</x:v>
      </x:c>
      <x:c r="N166" s="2" t="s">
        <x:v>84</x:v>
      </x:c>
      <x:c r="O166" s="6" t="b">
        <x:v>1</x:v>
      </x:c>
      <x:c r="P166" s="2" t="n">
        <x:f>COUNTIF('模块测量'!$B$2:$B$801,A166)</x:f>
        <x:v>4</x:v>
      </x:c>
      <x:c r="Q166" s="2" t="str">
        <x:f t="shared" si="5">IF(P166=4,"PASS","CHECK")</x:f>
        <x:v>PASS</x:v>
      </x:c>
    </x:row>
    <x:row r="167" ht="15">
      <x:c r="A167" s="2" t="s">
        <x:v>250</x:v>
      </x:c>
      <x:c r="B167" s="2" t="s">
        <x:v>56</x:v>
      </x:c>
      <x:c r="C167" s="2">
        <x:v>1</x:v>
      </x:c>
      <x:c r="D167" s="4">
        <x:v>46179.398611111108</x:v>
      </x:c>
      <x:c r="E167" s="2">
        <x:v>5</x:v>
      </x:c>
      <x:c r="F167" s="2" t="s">
        <x:v>79</x:v>
      </x:c>
      <x:c r="G167" s="2" t="s">
        <x:v>80</x:v>
      </x:c>
      <x:c r="H167" s="2" t="s">
        <x:v>81</x:v>
      </x:c>
      <x:c r="I167" s="2" t="s">
        <x:v>82</x:v>
      </x:c>
      <x:c r="J167" s="2">
        <x:v>15</x:v>
      </x:c>
      <x:c r="K167" s="5">
        <x:v>63.1</x:v>
      </x:c>
      <x:c r="L167" s="2">
        <x:v>434</x:v>
      </x:c>
      <x:c r="M167" s="2" t="s">
        <x:v>83</x:v>
      </x:c>
      <x:c r="N167" s="2" t="s">
        <x:v>84</x:v>
      </x:c>
      <x:c r="O167" s="6" t="b">
        <x:v>1</x:v>
      </x:c>
      <x:c r="P167" s="2" t="n">
        <x:f>COUNTIF('模块测量'!$B$2:$B$801,A167)</x:f>
        <x:v>4</x:v>
      </x:c>
      <x:c r="Q167" s="2" t="str">
        <x:f t="shared" si="5">IF(P167=4,"PASS","CHECK")</x:f>
        <x:v>PASS</x:v>
      </x:c>
    </x:row>
    <x:row r="168" ht="15">
      <x:c r="A168" s="2" t="s">
        <x:v>251</x:v>
      </x:c>
      <x:c r="B168" s="2" t="s">
        <x:v>56</x:v>
      </x:c>
      <x:c r="C168" s="2">
        <x:v>2</x:v>
      </x:c>
      <x:c r="D168" s="4">
        <x:v>46186.398611111108</x:v>
      </x:c>
      <x:c r="E168" s="2">
        <x:v>12</x:v>
      </x:c>
      <x:c r="F168" s="2" t="s">
        <x:v>79</x:v>
      </x:c>
      <x:c r="G168" s="2" t="s">
        <x:v>80</x:v>
      </x:c>
      <x:c r="H168" s="2" t="s">
        <x:v>81</x:v>
      </x:c>
      <x:c r="I168" s="2" t="s">
        <x:v>82</x:v>
      </x:c>
      <x:c r="J168" s="2">
        <x:v>15</x:v>
      </x:c>
      <x:c r="K168" s="5">
        <x:v>56.4</x:v>
      </x:c>
      <x:c r="L168" s="2">
        <x:v>470</x:v>
      </x:c>
      <x:c r="M168" s="2" t="s">
        <x:v>83</x:v>
      </x:c>
      <x:c r="N168" s="2" t="s">
        <x:v>84</x:v>
      </x:c>
      <x:c r="O168" s="6" t="b">
        <x:v>1</x:v>
      </x:c>
      <x:c r="P168" s="2" t="n">
        <x:f>COUNTIF('模块测量'!$B$2:$B$801,A168)</x:f>
        <x:v>4</x:v>
      </x:c>
      <x:c r="Q168" s="2" t="str">
        <x:f t="shared" si="5">IF(P168=4,"PASS","CHECK")</x:f>
        <x:v>PASS</x:v>
      </x:c>
    </x:row>
    <x:row r="169" ht="15">
      <x:c r="A169" s="2" t="s">
        <x:v>252</x:v>
      </x:c>
      <x:c r="B169" s="2" t="s">
        <x:v>56</x:v>
      </x:c>
      <x:c r="C169" s="2">
        <x:v>3</x:v>
      </x:c>
      <x:c r="D169" s="4">
        <x:v>46193.398611111108</x:v>
      </x:c>
      <x:c r="E169" s="2">
        <x:v>19</x:v>
      </x:c>
      <x:c r="F169" s="2" t="s">
        <x:v>79</x:v>
      </x:c>
      <x:c r="G169" s="2" t="s">
        <x:v>80</x:v>
      </x:c>
      <x:c r="H169" s="2" t="s">
        <x:v>81</x:v>
      </x:c>
      <x:c r="I169" s="2" t="s">
        <x:v>82</x:v>
      </x:c>
      <x:c r="J169" s="2">
        <x:v>15</x:v>
      </x:c>
      <x:c r="K169" s="5">
        <x:v>61.9</x:v>
      </x:c>
      <x:c r="L169" s="2">
        <x:v>356</x:v>
      </x:c>
      <x:c r="M169" s="2" t="s">
        <x:v>83</x:v>
      </x:c>
      <x:c r="N169" s="2" t="s">
        <x:v>84</x:v>
      </x:c>
      <x:c r="O169" s="6" t="b">
        <x:v>1</x:v>
      </x:c>
      <x:c r="P169" s="2" t="n">
        <x:f>COUNTIF('模块测量'!$B$2:$B$801,A169)</x:f>
        <x:v>4</x:v>
      </x:c>
      <x:c r="Q169" s="2" t="str">
        <x:f t="shared" si="5">IF(P169=4,"PASS","CHECK")</x:f>
        <x:v>PASS</x:v>
      </x:c>
    </x:row>
    <x:row r="170" ht="15">
      <x:c r="A170" s="2" t="s">
        <x:v>253</x:v>
      </x:c>
      <x:c r="B170" s="2" t="s">
        <x:v>56</x:v>
      </x:c>
      <x:c r="C170" s="2">
        <x:v>4</x:v>
      </x:c>
      <x:c r="D170" s="4">
        <x:v>46200.398611111108</x:v>
      </x:c>
      <x:c r="E170" s="2">
        <x:v>26</x:v>
      </x:c>
      <x:c r="F170" s="2" t="s">
        <x:v>79</x:v>
      </x:c>
      <x:c r="G170" s="2" t="s">
        <x:v>80</x:v>
      </x:c>
      <x:c r="H170" s="2" t="s">
        <x:v>81</x:v>
      </x:c>
      <x:c r="I170" s="2" t="s">
        <x:v>82</x:v>
      </x:c>
      <x:c r="J170" s="2">
        <x:v>15</x:v>
      </x:c>
      <x:c r="K170" s="5">
        <x:v>63.5</x:v>
      </x:c>
      <x:c r="L170" s="2">
        <x:v>410</x:v>
      </x:c>
      <x:c r="M170" s="2" t="s">
        <x:v>83</x:v>
      </x:c>
      <x:c r="N170" s="2" t="s">
        <x:v>84</x:v>
      </x:c>
      <x:c r="O170" s="6" t="b">
        <x:v>1</x:v>
      </x:c>
      <x:c r="P170" s="2" t="n">
        <x:f>COUNTIF('模块测量'!$B$2:$B$801,A170)</x:f>
        <x:v>4</x:v>
      </x:c>
      <x:c r="Q170" s="2" t="str">
        <x:f t="shared" si="5">IF(P170=4,"PASS","CHECK")</x:f>
        <x:v>PASS</x:v>
      </x:c>
    </x:row>
    <x:row r="171" ht="15">
      <x:c r="A171" s="2" t="s">
        <x:v>254</x:v>
      </x:c>
      <x:c r="B171" s="2" t="s">
        <x:v>56</x:v>
      </x:c>
      <x:c r="C171" s="2">
        <x:v>5</x:v>
      </x:c>
      <x:c r="D171" s="4">
        <x:v>46207.398611111108</x:v>
      </x:c>
      <x:c r="E171" s="2">
        <x:v>33</x:v>
      </x:c>
      <x:c r="F171" s="2" t="s">
        <x:v>79</x:v>
      </x:c>
      <x:c r="G171" s="2" t="s">
        <x:v>80</x:v>
      </x:c>
      <x:c r="H171" s="2" t="s">
        <x:v>81</x:v>
      </x:c>
      <x:c r="I171" s="2" t="s">
        <x:v>82</x:v>
      </x:c>
      <x:c r="J171" s="2">
        <x:v>15</x:v>
      </x:c>
      <x:c r="K171" s="5">
        <x:v>55.2</x:v>
      </x:c>
      <x:c r="L171" s="2">
        <x:v>489</x:v>
      </x:c>
      <x:c r="M171" s="2" t="s">
        <x:v>83</x:v>
      </x:c>
      <x:c r="N171" s="2" t="s">
        <x:v>84</x:v>
      </x:c>
      <x:c r="O171" s="6" t="b">
        <x:v>1</x:v>
      </x:c>
      <x:c r="P171" s="2" t="n">
        <x:f>COUNTIF('模块测量'!$B$2:$B$801,A171)</x:f>
        <x:v>4</x:v>
      </x:c>
      <x:c r="Q171" s="2" t="str">
        <x:f t="shared" si="5">IF(P171=4,"PASS","CHECK")</x:f>
        <x:v>PASS</x:v>
      </x:c>
    </x:row>
    <x:row r="172" ht="15">
      <x:c r="A172" s="2" t="s">
        <x:v>255</x:v>
      </x:c>
      <x:c r="B172" s="2" t="s">
        <x:v>57</x:v>
      </x:c>
      <x:c r="C172" s="2">
        <x:v>1</x:v>
      </x:c>
      <x:c r="D172" s="4">
        <x:v>46180.399305555555</x:v>
      </x:c>
      <x:c r="E172" s="2">
        <x:v>6</x:v>
      </x:c>
      <x:c r="F172" s="2" t="s">
        <x:v>79</x:v>
      </x:c>
      <x:c r="G172" s="2" t="s">
        <x:v>80</x:v>
      </x:c>
      <x:c r="H172" s="2" t="s">
        <x:v>81</x:v>
      </x:c>
      <x:c r="I172" s="2" t="s">
        <x:v>82</x:v>
      </x:c>
      <x:c r="J172" s="2">
        <x:v>15</x:v>
      </x:c>
      <x:c r="K172" s="5">
        <x:v>62.4</x:v>
      </x:c>
      <x:c r="L172" s="2">
        <x:v>540</x:v>
      </x:c>
      <x:c r="M172" s="2" t="s">
        <x:v>83</x:v>
      </x:c>
      <x:c r="N172" s="2" t="s">
        <x:v>84</x:v>
      </x:c>
      <x:c r="O172" s="6" t="b">
        <x:v>1</x:v>
      </x:c>
      <x:c r="P172" s="2" t="n">
        <x:f>COUNTIF('模块测量'!$B$2:$B$801,A172)</x:f>
        <x:v>4</x:v>
      </x:c>
      <x:c r="Q172" s="2" t="str">
        <x:f t="shared" si="5">IF(P172=4,"PASS","CHECK")</x:f>
        <x:v>PASS</x:v>
      </x:c>
    </x:row>
    <x:row r="173" ht="15">
      <x:c r="A173" s="2" t="s">
        <x:v>256</x:v>
      </x:c>
      <x:c r="B173" s="2" t="s">
        <x:v>57</x:v>
      </x:c>
      <x:c r="C173" s="2">
        <x:v>2</x:v>
      </x:c>
      <x:c r="D173" s="4">
        <x:v>46187.399305555555</x:v>
      </x:c>
      <x:c r="E173" s="2">
        <x:v>13</x:v>
      </x:c>
      <x:c r="F173" s="2" t="s">
        <x:v>79</x:v>
      </x:c>
      <x:c r="G173" s="2" t="s">
        <x:v>80</x:v>
      </x:c>
      <x:c r="H173" s="2" t="s">
        <x:v>81</x:v>
      </x:c>
      <x:c r="I173" s="2" t="s">
        <x:v>82</x:v>
      </x:c>
      <x:c r="J173" s="2">
        <x:v>15</x:v>
      </x:c>
      <x:c r="K173" s="5">
        <x:v>56.3</x:v>
      </x:c>
      <x:c r="L173" s="2">
        <x:v>519</x:v>
      </x:c>
      <x:c r="M173" s="2" t="s">
        <x:v>83</x:v>
      </x:c>
      <x:c r="N173" s="2" t="s">
        <x:v>84</x:v>
      </x:c>
      <x:c r="O173" s="6" t="b">
        <x:v>1</x:v>
      </x:c>
      <x:c r="P173" s="2" t="n">
        <x:f>COUNTIF('模块测量'!$B$2:$B$801,A173)</x:f>
        <x:v>4</x:v>
      </x:c>
      <x:c r="Q173" s="2" t="str">
        <x:f t="shared" si="5">IF(P173=4,"PASS","CHECK")</x:f>
        <x:v>PASS</x:v>
      </x:c>
    </x:row>
    <x:row r="174" ht="15">
      <x:c r="A174" s="2" t="s">
        <x:v>257</x:v>
      </x:c>
      <x:c r="B174" s="2" t="s">
        <x:v>57</x:v>
      </x:c>
      <x:c r="C174" s="2">
        <x:v>3</x:v>
      </x:c>
      <x:c r="D174" s="4">
        <x:v>46194.399305555555</x:v>
      </x:c>
      <x:c r="E174" s="2">
        <x:v>20</x:v>
      </x:c>
      <x:c r="F174" s="2" t="s">
        <x:v>79</x:v>
      </x:c>
      <x:c r="G174" s="2" t="s">
        <x:v>80</x:v>
      </x:c>
      <x:c r="H174" s="2" t="s">
        <x:v>81</x:v>
      </x:c>
      <x:c r="I174" s="2" t="s">
        <x:v>82</x:v>
      </x:c>
      <x:c r="J174" s="2">
        <x:v>15</x:v>
      </x:c>
      <x:c r="K174" s="5">
        <x:v>59.8</x:v>
      </x:c>
      <x:c r="L174" s="2">
        <x:v>338</x:v>
      </x:c>
      <x:c r="M174" s="2" t="s">
        <x:v>83</x:v>
      </x:c>
      <x:c r="N174" s="2" t="s">
        <x:v>84</x:v>
      </x:c>
      <x:c r="O174" s="6" t="b">
        <x:v>1</x:v>
      </x:c>
      <x:c r="P174" s="2" t="n">
        <x:f>COUNTIF('模块测量'!$B$2:$B$801,A174)</x:f>
        <x:v>4</x:v>
      </x:c>
      <x:c r="Q174" s="2" t="str">
        <x:f t="shared" si="5">IF(P174=4,"PASS","CHECK")</x:f>
        <x:v>PASS</x:v>
      </x:c>
    </x:row>
    <x:row r="175" ht="15">
      <x:c r="A175" s="2" t="s">
        <x:v>258</x:v>
      </x:c>
      <x:c r="B175" s="2" t="s">
        <x:v>57</x:v>
      </x:c>
      <x:c r="C175" s="2">
        <x:v>4</x:v>
      </x:c>
      <x:c r="D175" s="4">
        <x:v>46201.399305555555</x:v>
      </x:c>
      <x:c r="E175" s="2">
        <x:v>27</x:v>
      </x:c>
      <x:c r="F175" s="2" t="s">
        <x:v>79</x:v>
      </x:c>
      <x:c r="G175" s="2" t="s">
        <x:v>80</x:v>
      </x:c>
      <x:c r="H175" s="2" t="s">
        <x:v>81</x:v>
      </x:c>
      <x:c r="I175" s="2" t="s">
        <x:v>82</x:v>
      </x:c>
      <x:c r="J175" s="2">
        <x:v>15</x:v>
      </x:c>
      <x:c r="K175" s="5">
        <x:v>60.1</x:v>
      </x:c>
      <x:c r="L175" s="2">
        <x:v>293</x:v>
      </x:c>
      <x:c r="M175" s="2" t="s">
        <x:v>83</x:v>
      </x:c>
      <x:c r="N175" s="2" t="s">
        <x:v>84</x:v>
      </x:c>
      <x:c r="O175" s="6" t="b">
        <x:v>1</x:v>
      </x:c>
      <x:c r="P175" s="2" t="n">
        <x:f>COUNTIF('模块测量'!$B$2:$B$801,A175)</x:f>
        <x:v>4</x:v>
      </x:c>
      <x:c r="Q175" s="2" t="str">
        <x:f t="shared" si="5">IF(P175=4,"PASS","CHECK")</x:f>
        <x:v>PASS</x:v>
      </x:c>
    </x:row>
    <x:row r="176" ht="15">
      <x:c r="A176" s="2" t="s">
        <x:v>259</x:v>
      </x:c>
      <x:c r="B176" s="2" t="s">
        <x:v>57</x:v>
      </x:c>
      <x:c r="C176" s="2">
        <x:v>5</x:v>
      </x:c>
      <x:c r="D176" s="4">
        <x:v>46208.399305555555</x:v>
      </x:c>
      <x:c r="E176" s="2">
        <x:v>34</x:v>
      </x:c>
      <x:c r="F176" s="2" t="s">
        <x:v>79</x:v>
      </x:c>
      <x:c r="G176" s="2" t="s">
        <x:v>80</x:v>
      </x:c>
      <x:c r="H176" s="2" t="s">
        <x:v>81</x:v>
      </x:c>
      <x:c r="I176" s="2" t="s">
        <x:v>82</x:v>
      </x:c>
      <x:c r="J176" s="2">
        <x:v>15</x:v>
      </x:c>
      <x:c r="K176" s="5">
        <x:v>64</x:v>
      </x:c>
      <x:c r="L176" s="2">
        <x:v>193</x:v>
      </x:c>
      <x:c r="M176" s="2" t="s">
        <x:v>83</x:v>
      </x:c>
      <x:c r="N176" s="2" t="s">
        <x:v>84</x:v>
      </x:c>
      <x:c r="O176" s="6" t="b">
        <x:v>1</x:v>
      </x:c>
      <x:c r="P176" s="2" t="n">
        <x:f>COUNTIF('模块测量'!$B$2:$B$801,A176)</x:f>
        <x:v>4</x:v>
      </x:c>
      <x:c r="Q176" s="2" t="str">
        <x:f t="shared" si="5">IF(P176=4,"PASS","CHECK")</x:f>
        <x:v>PASS</x:v>
      </x:c>
    </x:row>
    <x:row r="177" ht="15">
      <x:c r="A177" s="2" t="s">
        <x:v>260</x:v>
      </x:c>
      <x:c r="B177" s="2" t="s">
        <x:v>58</x:v>
      </x:c>
      <x:c r="C177" s="2">
        <x:v>1</x:v>
      </x:c>
      <x:c r="D177" s="4">
        <x:v>46174.400000000001</x:v>
      </x:c>
      <x:c r="E177" s="2">
        <x:v>0</x:v>
      </x:c>
      <x:c r="F177" s="2" t="s">
        <x:v>79</x:v>
      </x:c>
      <x:c r="G177" s="2" t="s">
        <x:v>80</x:v>
      </x:c>
      <x:c r="H177" s="2" t="s">
        <x:v>81</x:v>
      </x:c>
      <x:c r="I177" s="2" t="s">
        <x:v>82</x:v>
      </x:c>
      <x:c r="J177" s="2">
        <x:v>15</x:v>
      </x:c>
      <x:c r="K177" s="5">
        <x:v>61.1</x:v>
      </x:c>
      <x:c r="L177" s="2">
        <x:v>318</x:v>
      </x:c>
      <x:c r="M177" s="2" t="s">
        <x:v>83</x:v>
      </x:c>
      <x:c r="N177" s="2" t="s">
        <x:v>100</x:v>
      </x:c>
      <x:c r="O177" s="6" t="b">
        <x:v>1</x:v>
      </x:c>
      <x:c r="P177" s="2" t="n">
        <x:f>COUNTIF('模块测量'!$B$2:$B$801,A177)</x:f>
        <x:v>4</x:v>
      </x:c>
      <x:c r="Q177" s="2" t="str">
        <x:f t="shared" si="5">IF(P177=4,"PASS","CHECK")</x:f>
        <x:v>PASS</x:v>
      </x:c>
    </x:row>
    <x:row r="178" ht="15">
      <x:c r="A178" s="2" t="s">
        <x:v>261</x:v>
      </x:c>
      <x:c r="B178" s="2" t="s">
        <x:v>58</x:v>
      </x:c>
      <x:c r="C178" s="2">
        <x:v>2</x:v>
      </x:c>
      <x:c r="D178" s="4">
        <x:v>46181.4</x:v>
      </x:c>
      <x:c r="E178" s="2">
        <x:v>7</x:v>
      </x:c>
      <x:c r="F178" s="2" t="s">
        <x:v>79</x:v>
      </x:c>
      <x:c r="G178" s="2" t="s">
        <x:v>80</x:v>
      </x:c>
      <x:c r="H178" s="2" t="s">
        <x:v>81</x:v>
      </x:c>
      <x:c r="I178" s="2" t="s">
        <x:v>82</x:v>
      </x:c>
      <x:c r="J178" s="2">
        <x:v>15</x:v>
      </x:c>
      <x:c r="K178" s="5">
        <x:v>54.3</x:v>
      </x:c>
      <x:c r="L178" s="2">
        <x:v>499</x:v>
      </x:c>
      <x:c r="M178" s="2" t="s">
        <x:v>83</x:v>
      </x:c>
      <x:c r="N178" s="2" t="s">
        <x:v>100</x:v>
      </x:c>
      <x:c r="O178" s="6" t="b">
        <x:v>1</x:v>
      </x:c>
      <x:c r="P178" s="2" t="n">
        <x:f>COUNTIF('模块测量'!$B$2:$B$801,A178)</x:f>
        <x:v>4</x:v>
      </x:c>
      <x:c r="Q178" s="2" t="str">
        <x:f t="shared" si="5">IF(P178=4,"PASS","CHECK")</x:f>
        <x:v>PASS</x:v>
      </x:c>
    </x:row>
    <x:row r="179" ht="15">
      <x:c r="A179" s="2" t="s">
        <x:v>262</x:v>
      </x:c>
      <x:c r="B179" s="2" t="s">
        <x:v>58</x:v>
      </x:c>
      <x:c r="C179" s="2">
        <x:v>3</x:v>
      </x:c>
      <x:c r="D179" s="4">
        <x:v>46188.4</x:v>
      </x:c>
      <x:c r="E179" s="2">
        <x:v>14</x:v>
      </x:c>
      <x:c r="F179" s="2" t="s">
        <x:v>79</x:v>
      </x:c>
      <x:c r="G179" s="2" t="s">
        <x:v>80</x:v>
      </x:c>
      <x:c r="H179" s="2" t="s">
        <x:v>81</x:v>
      </x:c>
      <x:c r="I179" s="2" t="s">
        <x:v>82</x:v>
      </x:c>
      <x:c r="J179" s="2">
        <x:v>15</x:v>
      </x:c>
      <x:c r="K179" s="5">
        <x:v>61.6</x:v>
      </x:c>
      <x:c r="L179" s="2">
        <x:v>385</x:v>
      </x:c>
      <x:c r="M179" s="2" t="s">
        <x:v>83</x:v>
      </x:c>
      <x:c r="N179" s="2" t="s">
        <x:v>100</x:v>
      </x:c>
      <x:c r="O179" s="6" t="b">
        <x:v>1</x:v>
      </x:c>
      <x:c r="P179" s="2" t="n">
        <x:f>COUNTIF('模块测量'!$B$2:$B$801,A179)</x:f>
        <x:v>4</x:v>
      </x:c>
      <x:c r="Q179" s="2" t="str">
        <x:f t="shared" si="5">IF(P179=4,"PASS","CHECK")</x:f>
        <x:v>PASS</x:v>
      </x:c>
    </x:row>
    <x:row r="180" ht="15">
      <x:c r="A180" s="2" t="s">
        <x:v>263</x:v>
      </x:c>
      <x:c r="B180" s="2" t="s">
        <x:v>58</x:v>
      </x:c>
      <x:c r="C180" s="2">
        <x:v>4</x:v>
      </x:c>
      <x:c r="D180" s="4">
        <x:v>46195.4</x:v>
      </x:c>
      <x:c r="E180" s="2">
        <x:v>21</x:v>
      </x:c>
      <x:c r="F180" s="2" t="s">
        <x:v>79</x:v>
      </x:c>
      <x:c r="G180" s="2" t="s">
        <x:v>80</x:v>
      </x:c>
      <x:c r="H180" s="2" t="s">
        <x:v>81</x:v>
      </x:c>
      <x:c r="I180" s="2" t="s">
        <x:v>82</x:v>
      </x:c>
      <x:c r="J180" s="2">
        <x:v>15</x:v>
      </x:c>
      <x:c r="K180" s="5">
        <x:v>60.7</x:v>
      </x:c>
      <x:c r="L180" s="2">
        <x:v>398</x:v>
      </x:c>
      <x:c r="M180" s="2" t="s">
        <x:v>83</x:v>
      </x:c>
      <x:c r="N180" s="2" t="s">
        <x:v>100</x:v>
      </x:c>
      <x:c r="O180" s="6" t="b">
        <x:v>1</x:v>
      </x:c>
      <x:c r="P180" s="2" t="n">
        <x:f>COUNTIF('模块测量'!$B$2:$B$801,A180)</x:f>
        <x:v>4</x:v>
      </x:c>
      <x:c r="Q180" s="2" t="str">
        <x:f t="shared" si="5">IF(P180=4,"PASS","CHECK")</x:f>
        <x:v>PASS</x:v>
      </x:c>
    </x:row>
    <x:row r="181" ht="15">
      <x:c r="A181" s="2" t="s">
        <x:v>264</x:v>
      </x:c>
      <x:c r="B181" s="2" t="s">
        <x:v>58</x:v>
      </x:c>
      <x:c r="C181" s="2">
        <x:v>5</x:v>
      </x:c>
      <x:c r="D181" s="4">
        <x:v>46202.400000000001</x:v>
      </x:c>
      <x:c r="E181" s="2">
        <x:v>28</x:v>
      </x:c>
      <x:c r="F181" s="2" t="s">
        <x:v>79</x:v>
      </x:c>
      <x:c r="G181" s="2" t="s">
        <x:v>80</x:v>
      </x:c>
      <x:c r="H181" s="2" t="s">
        <x:v>81</x:v>
      </x:c>
      <x:c r="I181" s="2" t="s">
        <x:v>82</x:v>
      </x:c>
      <x:c r="J181" s="2">
        <x:v>15</x:v>
      </x:c>
      <x:c r="K181" s="5">
        <x:v>59.4</x:v>
      </x:c>
      <x:c r="L181" s="2">
        <x:v>401</x:v>
      </x:c>
      <x:c r="M181" s="2" t="s">
        <x:v>83</x:v>
      </x:c>
      <x:c r="N181" s="2" t="s">
        <x:v>100</x:v>
      </x:c>
      <x:c r="O181" s="6" t="b">
        <x:v>1</x:v>
      </x:c>
      <x:c r="P181" s="2" t="n">
        <x:f>COUNTIF('模块测量'!$B$2:$B$801,A181)</x:f>
        <x:v>4</x:v>
      </x:c>
      <x:c r="Q181" s="2" t="str">
        <x:f t="shared" si="5">IF(P181=4,"PASS","CHECK")</x:f>
        <x:v>PASS</x:v>
      </x:c>
    </x:row>
    <x:row r="182" ht="15">
      <x:c r="A182" s="2" t="s">
        <x:v>265</x:v>
      </x:c>
      <x:c r="B182" s="2" t="s">
        <x:v>59</x:v>
      </x:c>
      <x:c r="C182" s="2">
        <x:v>1</x:v>
      </x:c>
      <x:c r="D182" s="4">
        <x:v>46175.400694444441</x:v>
      </x:c>
      <x:c r="E182" s="2">
        <x:v>1</x:v>
      </x:c>
      <x:c r="F182" s="2" t="s">
        <x:v>79</x:v>
      </x:c>
      <x:c r="G182" s="2" t="s">
        <x:v>80</x:v>
      </x:c>
      <x:c r="H182" s="2" t="s">
        <x:v>81</x:v>
      </x:c>
      <x:c r="I182" s="2" t="s">
        <x:v>82</x:v>
      </x:c>
      <x:c r="J182" s="2">
        <x:v>15</x:v>
      </x:c>
      <x:c r="K182" s="5">
        <x:v>56.2</x:v>
      </x:c>
      <x:c r="L182" s="2">
        <x:v>457</x:v>
      </x:c>
      <x:c r="M182" s="2" t="s">
        <x:v>83</x:v>
      </x:c>
      <x:c r="N182" s="2" t="s">
        <x:v>84</x:v>
      </x:c>
      <x:c r="O182" s="6" t="b">
        <x:v>1</x:v>
      </x:c>
      <x:c r="P182" s="2" t="n">
        <x:f>COUNTIF('模块测量'!$B$2:$B$801,A182)</x:f>
        <x:v>4</x:v>
      </x:c>
      <x:c r="Q182" s="2" t="str">
        <x:f t="shared" si="5">IF(P182=4,"PASS","CHECK")</x:f>
        <x:v>PASS</x:v>
      </x:c>
    </x:row>
    <x:row r="183" ht="15">
      <x:c r="A183" s="2" t="s">
        <x:v>266</x:v>
      </x:c>
      <x:c r="B183" s="2" t="s">
        <x:v>59</x:v>
      </x:c>
      <x:c r="C183" s="2">
        <x:v>2</x:v>
      </x:c>
      <x:c r="D183" s="4">
        <x:v>46182.400694444441</x:v>
      </x:c>
      <x:c r="E183" s="2">
        <x:v>8</x:v>
      </x:c>
      <x:c r="F183" s="2" t="s">
        <x:v>79</x:v>
      </x:c>
      <x:c r="G183" s="2" t="s">
        <x:v>80</x:v>
      </x:c>
      <x:c r="H183" s="2" t="s">
        <x:v>81</x:v>
      </x:c>
      <x:c r="I183" s="2" t="s">
        <x:v>82</x:v>
      </x:c>
      <x:c r="J183" s="2">
        <x:v>15</x:v>
      </x:c>
      <x:c r="K183" s="5">
        <x:v>59.7</x:v>
      </x:c>
      <x:c r="L183" s="2">
        <x:v>429</x:v>
      </x:c>
      <x:c r="M183" s="2" t="s">
        <x:v>83</x:v>
      </x:c>
      <x:c r="N183" s="2" t="s">
        <x:v>84</x:v>
      </x:c>
      <x:c r="O183" s="6" t="b">
        <x:v>1</x:v>
      </x:c>
      <x:c r="P183" s="2" t="n">
        <x:f>COUNTIF('模块测量'!$B$2:$B$801,A183)</x:f>
        <x:v>4</x:v>
      </x:c>
      <x:c r="Q183" s="2" t="str">
        <x:f t="shared" si="5">IF(P183=4,"PASS","CHECK")</x:f>
        <x:v>PASS</x:v>
      </x:c>
    </x:row>
    <x:row r="184" ht="15">
      <x:c r="A184" s="2" t="s">
        <x:v>267</x:v>
      </x:c>
      <x:c r="B184" s="2" t="s">
        <x:v>59</x:v>
      </x:c>
      <x:c r="C184" s="2">
        <x:v>3</x:v>
      </x:c>
      <x:c r="D184" s="4">
        <x:v>46189.400694444441</x:v>
      </x:c>
      <x:c r="E184" s="2">
        <x:v>15</x:v>
      </x:c>
      <x:c r="F184" s="2" t="s">
        <x:v>79</x:v>
      </x:c>
      <x:c r="G184" s="2" t="s">
        <x:v>80</x:v>
      </x:c>
      <x:c r="H184" s="2" t="s">
        <x:v>81</x:v>
      </x:c>
      <x:c r="I184" s="2" t="s">
        <x:v>82</x:v>
      </x:c>
      <x:c r="J184" s="2">
        <x:v>15</x:v>
      </x:c>
      <x:c r="K184" s="5">
        <x:v>62.6</x:v>
      </x:c>
      <x:c r="L184" s="2">
        <x:v>435</x:v>
      </x:c>
      <x:c r="M184" s="2" t="s">
        <x:v>83</x:v>
      </x:c>
      <x:c r="N184" s="2" t="s">
        <x:v>84</x:v>
      </x:c>
      <x:c r="O184" s="6" t="b">
        <x:v>1</x:v>
      </x:c>
      <x:c r="P184" s="2" t="n">
        <x:f>COUNTIF('模块测量'!$B$2:$B$801,A184)</x:f>
        <x:v>4</x:v>
      </x:c>
      <x:c r="Q184" s="2" t="str">
        <x:f t="shared" si="5">IF(P184=4,"PASS","CHECK")</x:f>
        <x:v>PASS</x:v>
      </x:c>
    </x:row>
    <x:row r="185" ht="15">
      <x:c r="A185" s="2" t="s">
        <x:v>268</x:v>
      </x:c>
      <x:c r="B185" s="2" t="s">
        <x:v>59</x:v>
      </x:c>
      <x:c r="C185" s="2">
        <x:v>4</x:v>
      </x:c>
      <x:c r="D185" s="4">
        <x:v>46196.400694444441</x:v>
      </x:c>
      <x:c r="E185" s="2">
        <x:v>22</x:v>
      </x:c>
      <x:c r="F185" s="2" t="s">
        <x:v>79</x:v>
      </x:c>
      <x:c r="G185" s="2" t="s">
        <x:v>80</x:v>
      </x:c>
      <x:c r="H185" s="2" t="s">
        <x:v>81</x:v>
      </x:c>
      <x:c r="I185" s="2" t="s">
        <x:v>82</x:v>
      </x:c>
      <x:c r="J185" s="2">
        <x:v>15</x:v>
      </x:c>
      <x:c r="K185" s="5">
        <x:v>58.5</x:v>
      </x:c>
      <x:c r="L185" s="2">
        <x:v>464</x:v>
      </x:c>
      <x:c r="M185" s="2" t="s">
        <x:v>83</x:v>
      </x:c>
      <x:c r="N185" s="2" t="s">
        <x:v>84</x:v>
      </x:c>
      <x:c r="O185" s="6" t="b">
        <x:v>1</x:v>
      </x:c>
      <x:c r="P185" s="2" t="n">
        <x:f>COUNTIF('模块测量'!$B$2:$B$801,A185)</x:f>
        <x:v>4</x:v>
      </x:c>
      <x:c r="Q185" s="2" t="str">
        <x:f t="shared" si="5">IF(P185=4,"PASS","CHECK")</x:f>
        <x:v>PASS</x:v>
      </x:c>
    </x:row>
    <x:row r="186" ht="15">
      <x:c r="A186" s="2" t="s">
        <x:v>269</x:v>
      </x:c>
      <x:c r="B186" s="2" t="s">
        <x:v>59</x:v>
      </x:c>
      <x:c r="C186" s="2">
        <x:v>5</x:v>
      </x:c>
      <x:c r="D186" s="4">
        <x:v>46203.400694444441</x:v>
      </x:c>
      <x:c r="E186" s="2">
        <x:v>29</x:v>
      </x:c>
      <x:c r="F186" s="2" t="s">
        <x:v>79</x:v>
      </x:c>
      <x:c r="G186" s="2" t="s">
        <x:v>80</x:v>
      </x:c>
      <x:c r="H186" s="2" t="s">
        <x:v>81</x:v>
      </x:c>
      <x:c r="I186" s="2" t="s">
        <x:v>82</x:v>
      </x:c>
      <x:c r="J186" s="2">
        <x:v>15</x:v>
      </x:c>
      <x:c r="K186" s="5">
        <x:v>56.1</x:v>
      </x:c>
      <x:c r="L186" s="2">
        <x:v>334</x:v>
      </x:c>
      <x:c r="M186" s="2" t="s">
        <x:v>83</x:v>
      </x:c>
      <x:c r="N186" s="2" t="s">
        <x:v>84</x:v>
      </x:c>
      <x:c r="O186" s="6" t="b">
        <x:v>1</x:v>
      </x:c>
      <x:c r="P186" s="2" t="n">
        <x:f>COUNTIF('模块测量'!$B$2:$B$801,A186)</x:f>
        <x:v>4</x:v>
      </x:c>
      <x:c r="Q186" s="2" t="str">
        <x:f t="shared" si="5">IF(P186=4,"PASS","CHECK")</x:f>
        <x:v>PASS</x:v>
      </x:c>
    </x:row>
    <x:row r="187" ht="15">
      <x:c r="A187" s="2" t="s">
        <x:v>270</x:v>
      </x:c>
      <x:c r="B187" s="2" t="s">
        <x:v>60</x:v>
      </x:c>
      <x:c r="C187" s="2">
        <x:v>1</x:v>
      </x:c>
      <x:c r="D187" s="4">
        <x:v>46176.401388888888</x:v>
      </x:c>
      <x:c r="E187" s="2">
        <x:v>2</x:v>
      </x:c>
      <x:c r="F187" s="2" t="s">
        <x:v>79</x:v>
      </x:c>
      <x:c r="G187" s="2" t="s">
        <x:v>80</x:v>
      </x:c>
      <x:c r="H187" s="2" t="s">
        <x:v>81</x:v>
      </x:c>
      <x:c r="I187" s="2" t="s">
        <x:v>82</x:v>
      </x:c>
      <x:c r="J187" s="2">
        <x:v>15</x:v>
      </x:c>
      <x:c r="K187" s="5">
        <x:v>66.900000000000006</x:v>
      </x:c>
      <x:c r="L187" s="2">
        <x:v>326</x:v>
      </x:c>
      <x:c r="M187" s="2" t="s">
        <x:v>83</x:v>
      </x:c>
      <x:c r="N187" s="2" t="s">
        <x:v>84</x:v>
      </x:c>
      <x:c r="O187" s="6" t="b">
        <x:v>1</x:v>
      </x:c>
      <x:c r="P187" s="2" t="n">
        <x:f>COUNTIF('模块测量'!$B$2:$B$801,A187)</x:f>
        <x:v>4</x:v>
      </x:c>
      <x:c r="Q187" s="2" t="str">
        <x:f t="shared" si="5">IF(P187=4,"PASS","CHECK")</x:f>
        <x:v>PASS</x:v>
      </x:c>
    </x:row>
    <x:row r="188" ht="15">
      <x:c r="A188" s="2" t="s">
        <x:v>271</x:v>
      </x:c>
      <x:c r="B188" s="2" t="s">
        <x:v>60</x:v>
      </x:c>
      <x:c r="C188" s="2">
        <x:v>2</x:v>
      </x:c>
      <x:c r="D188" s="4">
        <x:v>46183.401388888888</x:v>
      </x:c>
      <x:c r="E188" s="2">
        <x:v>9</x:v>
      </x:c>
      <x:c r="F188" s="2" t="s">
        <x:v>79</x:v>
      </x:c>
      <x:c r="G188" s="2" t="s">
        <x:v>80</x:v>
      </x:c>
      <x:c r="H188" s="2" t="s">
        <x:v>81</x:v>
      </x:c>
      <x:c r="I188" s="2" t="s">
        <x:v>82</x:v>
      </x:c>
      <x:c r="J188" s="2">
        <x:v>15</x:v>
      </x:c>
      <x:c r="K188" s="5">
        <x:v>57.1</x:v>
      </x:c>
      <x:c r="L188" s="2">
        <x:v>291</x:v>
      </x:c>
      <x:c r="M188" s="2" t="s">
        <x:v>83</x:v>
      </x:c>
      <x:c r="N188" s="2" t="s">
        <x:v>84</x:v>
      </x:c>
      <x:c r="O188" s="6" t="b">
        <x:v>1</x:v>
      </x:c>
      <x:c r="P188" s="2" t="n">
        <x:f>COUNTIF('模块测量'!$B$2:$B$801,A188)</x:f>
        <x:v>4</x:v>
      </x:c>
      <x:c r="Q188" s="2" t="str">
        <x:f t="shared" si="5">IF(P188=4,"PASS","CHECK")</x:f>
        <x:v>PASS</x:v>
      </x:c>
    </x:row>
    <x:row r="189" ht="15">
      <x:c r="A189" s="2" t="s">
        <x:v>272</x:v>
      </x:c>
      <x:c r="B189" s="2" t="s">
        <x:v>60</x:v>
      </x:c>
      <x:c r="C189" s="2">
        <x:v>3</x:v>
      </x:c>
      <x:c r="D189" s="4">
        <x:v>46190.401388888888</x:v>
      </x:c>
      <x:c r="E189" s="2">
        <x:v>16</x:v>
      </x:c>
      <x:c r="F189" s="2" t="s">
        <x:v>79</x:v>
      </x:c>
      <x:c r="G189" s="2" t="s">
        <x:v>80</x:v>
      </x:c>
      <x:c r="H189" s="2" t="s">
        <x:v>81</x:v>
      </x:c>
      <x:c r="I189" s="2" t="s">
        <x:v>82</x:v>
      </x:c>
      <x:c r="J189" s="2">
        <x:v>15</x:v>
      </x:c>
      <x:c r="K189" s="5">
        <x:v>63.1</x:v>
      </x:c>
      <x:c r="L189" s="2">
        <x:v>452</x:v>
      </x:c>
      <x:c r="M189" s="2" t="s">
        <x:v>83</x:v>
      </x:c>
      <x:c r="N189" s="2" t="s">
        <x:v>84</x:v>
      </x:c>
      <x:c r="O189" s="6" t="b">
        <x:v>1</x:v>
      </x:c>
      <x:c r="P189" s="2" t="n">
        <x:f>COUNTIF('模块测量'!$B$2:$B$801,A189)</x:f>
        <x:v>4</x:v>
      </x:c>
      <x:c r="Q189" s="2" t="str">
        <x:f t="shared" si="5">IF(P189=4,"PASS","CHECK")</x:f>
        <x:v>PASS</x:v>
      </x:c>
    </x:row>
    <x:row r="190" ht="15">
      <x:c r="A190" s="2" t="s">
        <x:v>273</x:v>
      </x:c>
      <x:c r="B190" s="2" t="s">
        <x:v>60</x:v>
      </x:c>
      <x:c r="C190" s="2">
        <x:v>4</x:v>
      </x:c>
      <x:c r="D190" s="4">
        <x:v>46197.401388888888</x:v>
      </x:c>
      <x:c r="E190" s="2">
        <x:v>23</x:v>
      </x:c>
      <x:c r="F190" s="2" t="s">
        <x:v>79</x:v>
      </x:c>
      <x:c r="G190" s="2" t="s">
        <x:v>80</x:v>
      </x:c>
      <x:c r="H190" s="2" t="s">
        <x:v>81</x:v>
      </x:c>
      <x:c r="I190" s="2" t="s">
        <x:v>82</x:v>
      </x:c>
      <x:c r="J190" s="2">
        <x:v>15</x:v>
      </x:c>
      <x:c r="K190" s="5">
        <x:v>57.3</x:v>
      </x:c>
      <x:c r="L190" s="2">
        <x:v>496</x:v>
      </x:c>
      <x:c r="M190" s="2" t="s">
        <x:v>83</x:v>
      </x:c>
      <x:c r="N190" s="2" t="s">
        <x:v>84</x:v>
      </x:c>
      <x:c r="O190" s="6" t="b">
        <x:v>1</x:v>
      </x:c>
      <x:c r="P190" s="2" t="n">
        <x:f>COUNTIF('模块测量'!$B$2:$B$801,A190)</x:f>
        <x:v>4</x:v>
      </x:c>
      <x:c r="Q190" s="2" t="str">
        <x:f t="shared" si="5">IF(P190=4,"PASS","CHECK")</x:f>
        <x:v>PASS</x:v>
      </x:c>
    </x:row>
    <x:row r="191" ht="15">
      <x:c r="A191" s="2" t="s">
        <x:v>274</x:v>
      </x:c>
      <x:c r="B191" s="2" t="s">
        <x:v>60</x:v>
      </x:c>
      <x:c r="C191" s="2">
        <x:v>5</x:v>
      </x:c>
      <x:c r="D191" s="4">
        <x:v>46204.401388888888</x:v>
      </x:c>
      <x:c r="E191" s="2">
        <x:v>30</x:v>
      </x:c>
      <x:c r="F191" s="2" t="s">
        <x:v>79</x:v>
      </x:c>
      <x:c r="G191" s="2" t="s">
        <x:v>80</x:v>
      </x:c>
      <x:c r="H191" s="2" t="s">
        <x:v>81</x:v>
      </x:c>
      <x:c r="I191" s="2" t="s">
        <x:v>82</x:v>
      </x:c>
      <x:c r="J191" s="2">
        <x:v>15</x:v>
      </x:c>
      <x:c r="K191" s="5">
        <x:v>60.5</x:v>
      </x:c>
      <x:c r="L191" s="2">
        <x:v>482</x:v>
      </x:c>
      <x:c r="M191" s="2" t="s">
        <x:v>83</x:v>
      </x:c>
      <x:c r="N191" s="2" t="s">
        <x:v>84</x:v>
      </x:c>
      <x:c r="O191" s="6" t="b">
        <x:v>1</x:v>
      </x:c>
      <x:c r="P191" s="2" t="n">
        <x:f>COUNTIF('模块测量'!$B$2:$B$801,A191)</x:f>
        <x:v>4</x:v>
      </x:c>
      <x:c r="Q191" s="2" t="str">
        <x:f t="shared" si="5">IF(P191=4,"PASS","CHECK")</x:f>
        <x:v>PASS</x:v>
      </x:c>
    </x:row>
    <x:row r="192" ht="15">
      <x:c r="A192" s="2" t="s">
        <x:v>275</x:v>
      </x:c>
      <x:c r="B192" s="2" t="s">
        <x:v>61</x:v>
      </x:c>
      <x:c r="C192" s="2">
        <x:v>1</x:v>
      </x:c>
      <x:c r="D192" s="4">
        <x:v>46177.402083333334</x:v>
      </x:c>
      <x:c r="E192" s="2">
        <x:v>3</x:v>
      </x:c>
      <x:c r="F192" s="2" t="s">
        <x:v>79</x:v>
      </x:c>
      <x:c r="G192" s="2" t="s">
        <x:v>80</x:v>
      </x:c>
      <x:c r="H192" s="2" t="s">
        <x:v>81</x:v>
      </x:c>
      <x:c r="I192" s="2" t="s">
        <x:v>82</x:v>
      </x:c>
      <x:c r="J192" s="2">
        <x:v>15</x:v>
      </x:c>
      <x:c r="K192" s="5">
        <x:v>59.8</x:v>
      </x:c>
      <x:c r="L192" s="2">
        <x:v>395</x:v>
      </x:c>
      <x:c r="M192" s="2" t="s">
        <x:v>83</x:v>
      </x:c>
      <x:c r="N192" s="2" t="s">
        <x:v>84</x:v>
      </x:c>
      <x:c r="O192" s="6" t="b">
        <x:v>1</x:v>
      </x:c>
      <x:c r="P192" s="2" t="n">
        <x:f>COUNTIF('模块测量'!$B$2:$B$801,A192)</x:f>
        <x:v>4</x:v>
      </x:c>
      <x:c r="Q192" s="2" t="str">
        <x:f t="shared" si="5">IF(P192=4,"PASS","CHECK")</x:f>
        <x:v>PASS</x:v>
      </x:c>
    </x:row>
    <x:row r="193" ht="15">
      <x:c r="A193" s="2" t="s">
        <x:v>276</x:v>
      </x:c>
      <x:c r="B193" s="2" t="s">
        <x:v>61</x:v>
      </x:c>
      <x:c r="C193" s="2">
        <x:v>2</x:v>
      </x:c>
      <x:c r="D193" s="4">
        <x:v>46184.402083333334</x:v>
      </x:c>
      <x:c r="E193" s="2">
        <x:v>10</x:v>
      </x:c>
      <x:c r="F193" s="2" t="s">
        <x:v>79</x:v>
      </x:c>
      <x:c r="G193" s="2" t="s">
        <x:v>80</x:v>
      </x:c>
      <x:c r="H193" s="2" t="s">
        <x:v>81</x:v>
      </x:c>
      <x:c r="I193" s="2" t="s">
        <x:v>82</x:v>
      </x:c>
      <x:c r="J193" s="2">
        <x:v>15</x:v>
      </x:c>
      <x:c r="K193" s="5">
        <x:v>63.1</x:v>
      </x:c>
      <x:c r="L193" s="2">
        <x:v>435</x:v>
      </x:c>
      <x:c r="M193" s="2" t="s">
        <x:v>83</x:v>
      </x:c>
      <x:c r="N193" s="2" t="s">
        <x:v>84</x:v>
      </x:c>
      <x:c r="O193" s="6" t="b">
        <x:v>1</x:v>
      </x:c>
      <x:c r="P193" s="2" t="n">
        <x:f>COUNTIF('模块测量'!$B$2:$B$801,A193)</x:f>
        <x:v>4</x:v>
      </x:c>
      <x:c r="Q193" s="2" t="str">
        <x:f t="shared" si="5">IF(P193=4,"PASS","CHECK")</x:f>
        <x:v>PASS</x:v>
      </x:c>
    </x:row>
    <x:row r="194" ht="15">
      <x:c r="A194" s="2" t="s">
        <x:v>277</x:v>
      </x:c>
      <x:c r="B194" s="2" t="s">
        <x:v>61</x:v>
      </x:c>
      <x:c r="C194" s="2">
        <x:v>3</x:v>
      </x:c>
      <x:c r="D194" s="4">
        <x:v>46191.402083333334</x:v>
      </x:c>
      <x:c r="E194" s="2">
        <x:v>17</x:v>
      </x:c>
      <x:c r="F194" s="2" t="s">
        <x:v>79</x:v>
      </x:c>
      <x:c r="G194" s="2" t="s">
        <x:v>80</x:v>
      </x:c>
      <x:c r="H194" s="2" t="s">
        <x:v>81</x:v>
      </x:c>
      <x:c r="I194" s="2" t="s">
        <x:v>82</x:v>
      </x:c>
      <x:c r="J194" s="2">
        <x:v>15</x:v>
      </x:c>
      <x:c r="K194" s="5">
        <x:v>57.7</x:v>
      </x:c>
      <x:c r="L194" s="2">
        <x:v>274</x:v>
      </x:c>
      <x:c r="M194" s="2" t="s">
        <x:v>83</x:v>
      </x:c>
      <x:c r="N194" s="2" t="s">
        <x:v>84</x:v>
      </x:c>
      <x:c r="O194" s="6" t="b">
        <x:v>1</x:v>
      </x:c>
      <x:c r="P194" s="2" t="n">
        <x:f>COUNTIF('模块测量'!$B$2:$B$801,A194)</x:f>
        <x:v>4</x:v>
      </x:c>
      <x:c r="Q194" s="2" t="str">
        <x:f t="shared" ref="Q194:Q201" si="6">IF(P194=4,"PASS","CHECK")</x:f>
        <x:v>PASS</x:v>
      </x:c>
    </x:row>
    <x:row r="195" ht="15">
      <x:c r="A195" s="2" t="s">
        <x:v>278</x:v>
      </x:c>
      <x:c r="B195" s="2" t="s">
        <x:v>61</x:v>
      </x:c>
      <x:c r="C195" s="2">
        <x:v>4</x:v>
      </x:c>
      <x:c r="D195" s="4">
        <x:v>46198.402083333334</x:v>
      </x:c>
      <x:c r="E195" s="2">
        <x:v>24</x:v>
      </x:c>
      <x:c r="F195" s="2" t="s">
        <x:v>79</x:v>
      </x:c>
      <x:c r="G195" s="2" t="s">
        <x:v>80</x:v>
      </x:c>
      <x:c r="H195" s="2" t="s">
        <x:v>81</x:v>
      </x:c>
      <x:c r="I195" s="2" t="s">
        <x:v>82</x:v>
      </x:c>
      <x:c r="J195" s="2">
        <x:v>15</x:v>
      </x:c>
      <x:c r="K195" s="5">
        <x:v>60</x:v>
      </x:c>
      <x:c r="L195" s="2">
        <x:v>363</x:v>
      </x:c>
      <x:c r="M195" s="2" t="s">
        <x:v>83</x:v>
      </x:c>
      <x:c r="N195" s="2" t="s">
        <x:v>84</x:v>
      </x:c>
      <x:c r="O195" s="6" t="b">
        <x:v>1</x:v>
      </x:c>
      <x:c r="P195" s="2" t="n">
        <x:f>COUNTIF('模块测量'!$B$2:$B$801,A195)</x:f>
        <x:v>4</x:v>
      </x:c>
      <x:c r="Q195" s="2" t="str">
        <x:f t="shared" si="6">IF(P195=4,"PASS","CHECK")</x:f>
        <x:v>PASS</x:v>
      </x:c>
    </x:row>
    <x:row r="196" ht="15">
      <x:c r="A196" s="2" t="s">
        <x:v>279</x:v>
      </x:c>
      <x:c r="B196" s="2" t="s">
        <x:v>61</x:v>
      </x:c>
      <x:c r="C196" s="2">
        <x:v>5</x:v>
      </x:c>
      <x:c r="D196" s="4">
        <x:v>46205.402083333334</x:v>
      </x:c>
      <x:c r="E196" s="2">
        <x:v>31</x:v>
      </x:c>
      <x:c r="F196" s="2" t="s">
        <x:v>79</x:v>
      </x:c>
      <x:c r="G196" s="2" t="s">
        <x:v>80</x:v>
      </x:c>
      <x:c r="H196" s="2" t="s">
        <x:v>81</x:v>
      </x:c>
      <x:c r="I196" s="2" t="s">
        <x:v>82</x:v>
      </x:c>
      <x:c r="J196" s="2">
        <x:v>15</x:v>
      </x:c>
      <x:c r="K196" s="5">
        <x:v>61.7</x:v>
      </x:c>
      <x:c r="L196" s="2">
        <x:v>436</x:v>
      </x:c>
      <x:c r="M196" s="2" t="s">
        <x:v>83</x:v>
      </x:c>
      <x:c r="N196" s="2" t="s">
        <x:v>84</x:v>
      </x:c>
      <x:c r="O196" s="6" t="b">
        <x:v>1</x:v>
      </x:c>
      <x:c r="P196" s="2" t="n">
        <x:f>COUNTIF('模块测量'!$B$2:$B$801,A196)</x:f>
        <x:v>4</x:v>
      </x:c>
      <x:c r="Q196" s="2" t="str">
        <x:f t="shared" si="6">IF(P196=4,"PASS","CHECK")</x:f>
        <x:v>PASS</x:v>
      </x:c>
    </x:row>
    <x:row r="197" ht="15">
      <x:c r="A197" s="2" t="s">
        <x:v>280</x:v>
      </x:c>
      <x:c r="B197" s="2" t="s">
        <x:v>62</x:v>
      </x:c>
      <x:c r="C197" s="2">
        <x:v>1</x:v>
      </x:c>
      <x:c r="D197" s="4">
        <x:v>46178.402777777781</x:v>
      </x:c>
      <x:c r="E197" s="2">
        <x:v>4</x:v>
      </x:c>
      <x:c r="F197" s="2" t="s">
        <x:v>79</x:v>
      </x:c>
      <x:c r="G197" s="2" t="s">
        <x:v>80</x:v>
      </x:c>
      <x:c r="H197" s="2" t="s">
        <x:v>81</x:v>
      </x:c>
      <x:c r="I197" s="2" t="s">
        <x:v>82</x:v>
      </x:c>
      <x:c r="J197" s="2">
        <x:v>15</x:v>
      </x:c>
      <x:c r="K197" s="5">
        <x:v>60.1</x:v>
      </x:c>
      <x:c r="L197" s="2">
        <x:v>449</x:v>
      </x:c>
      <x:c r="M197" s="2" t="s">
        <x:v>83</x:v>
      </x:c>
      <x:c r="N197" s="2" t="s">
        <x:v>100</x:v>
      </x:c>
      <x:c r="O197" s="6" t="b">
        <x:v>1</x:v>
      </x:c>
      <x:c r="P197" s="2" t="n">
        <x:f>COUNTIF('模块测量'!$B$2:$B$801,A197)</x:f>
        <x:v>4</x:v>
      </x:c>
      <x:c r="Q197" s="2" t="str">
        <x:f t="shared" si="6">IF(P197=4,"PASS","CHECK")</x:f>
        <x:v>PASS</x:v>
      </x:c>
    </x:row>
    <x:row r="198" ht="15">
      <x:c r="A198" s="2" t="s">
        <x:v>281</x:v>
      </x:c>
      <x:c r="B198" s="2" t="s">
        <x:v>62</x:v>
      </x:c>
      <x:c r="C198" s="2">
        <x:v>2</x:v>
      </x:c>
      <x:c r="D198" s="4">
        <x:v>46185.402777777781</x:v>
      </x:c>
      <x:c r="E198" s="2">
        <x:v>11</x:v>
      </x:c>
      <x:c r="F198" s="2" t="s">
        <x:v>79</x:v>
      </x:c>
      <x:c r="G198" s="2" t="s">
        <x:v>80</x:v>
      </x:c>
      <x:c r="H198" s="2" t="s">
        <x:v>81</x:v>
      </x:c>
      <x:c r="I198" s="2" t="s">
        <x:v>82</x:v>
      </x:c>
      <x:c r="J198" s="2">
        <x:v>15</x:v>
      </x:c>
      <x:c r="K198" s="5">
        <x:v>50.8</x:v>
      </x:c>
      <x:c r="L198" s="2">
        <x:v>439</x:v>
      </x:c>
      <x:c r="M198" s="2" t="s">
        <x:v>83</x:v>
      </x:c>
      <x:c r="N198" s="2" t="s">
        <x:v>100</x:v>
      </x:c>
      <x:c r="O198" s="6" t="b">
        <x:v>1</x:v>
      </x:c>
      <x:c r="P198" s="2" t="n">
        <x:f>COUNTIF('模块测量'!$B$2:$B$801,A198)</x:f>
        <x:v>4</x:v>
      </x:c>
      <x:c r="Q198" s="2" t="str">
        <x:f t="shared" si="6">IF(P198=4,"PASS","CHECK")</x:f>
        <x:v>PASS</x:v>
      </x:c>
    </x:row>
    <x:row r="199" ht="15">
      <x:c r="A199" s="2" t="s">
        <x:v>282</x:v>
      </x:c>
      <x:c r="B199" s="2" t="s">
        <x:v>62</x:v>
      </x:c>
      <x:c r="C199" s="2">
        <x:v>3</x:v>
      </x:c>
      <x:c r="D199" s="4">
        <x:v>46192.402777777781</x:v>
      </x:c>
      <x:c r="E199" s="2">
        <x:v>18</x:v>
      </x:c>
      <x:c r="F199" s="2" t="s">
        <x:v>79</x:v>
      </x:c>
      <x:c r="G199" s="2" t="s">
        <x:v>80</x:v>
      </x:c>
      <x:c r="H199" s="2" t="s">
        <x:v>81</x:v>
      </x:c>
      <x:c r="I199" s="2" t="s">
        <x:v>82</x:v>
      </x:c>
      <x:c r="J199" s="2">
        <x:v>15</x:v>
      </x:c>
      <x:c r="K199" s="5">
        <x:v>64.099999999999994</x:v>
      </x:c>
      <x:c r="L199" s="2">
        <x:v>522</x:v>
      </x:c>
      <x:c r="M199" s="2" t="s">
        <x:v>83</x:v>
      </x:c>
      <x:c r="N199" s="2" t="s">
        <x:v>100</x:v>
      </x:c>
      <x:c r="O199" s="6" t="b">
        <x:v>1</x:v>
      </x:c>
      <x:c r="P199" s="2" t="n">
        <x:f>COUNTIF('模块测量'!$B$2:$B$801,A199)</x:f>
        <x:v>4</x:v>
      </x:c>
      <x:c r="Q199" s="2" t="str">
        <x:f t="shared" si="6">IF(P199=4,"PASS","CHECK")</x:f>
        <x:v>PASS</x:v>
      </x:c>
    </x:row>
    <x:row r="200" ht="15">
      <x:c r="A200" s="2" t="s">
        <x:v>283</x:v>
      </x:c>
      <x:c r="B200" s="2" t="s">
        <x:v>62</x:v>
      </x:c>
      <x:c r="C200" s="2">
        <x:v>4</x:v>
      </x:c>
      <x:c r="D200" s="4">
        <x:v>46199.402777777781</x:v>
      </x:c>
      <x:c r="E200" s="2">
        <x:v>25</x:v>
      </x:c>
      <x:c r="F200" s="2" t="s">
        <x:v>79</x:v>
      </x:c>
      <x:c r="G200" s="2" t="s">
        <x:v>80</x:v>
      </x:c>
      <x:c r="H200" s="2" t="s">
        <x:v>81</x:v>
      </x:c>
      <x:c r="I200" s="2" t="s">
        <x:v>82</x:v>
      </x:c>
      <x:c r="J200" s="2">
        <x:v>15</x:v>
      </x:c>
      <x:c r="K200" s="5">
        <x:v>63.3</x:v>
      </x:c>
      <x:c r="L200" s="2">
        <x:v>263</x:v>
      </x:c>
      <x:c r="M200" s="2" t="s">
        <x:v>83</x:v>
      </x:c>
      <x:c r="N200" s="2" t="s">
        <x:v>100</x:v>
      </x:c>
      <x:c r="O200" s="6" t="b">
        <x:v>1</x:v>
      </x:c>
      <x:c r="P200" s="2" t="n">
        <x:f>COUNTIF('模块测量'!$B$2:$B$801,A200)</x:f>
        <x:v>4</x:v>
      </x:c>
      <x:c r="Q200" s="2" t="str">
        <x:f t="shared" si="6">IF(P200=4,"PASS","CHECK")</x:f>
        <x:v>PASS</x:v>
      </x:c>
    </x:row>
    <x:row r="201" ht="15">
      <x:c r="A201" s="2" t="s">
        <x:v>284</x:v>
      </x:c>
      <x:c r="B201" s="2" t="s">
        <x:v>62</x:v>
      </x:c>
      <x:c r="C201" s="2">
        <x:v>5</x:v>
      </x:c>
      <x:c r="D201" s="4">
        <x:v>46206.402777777781</x:v>
      </x:c>
      <x:c r="E201" s="2">
        <x:v>32</x:v>
      </x:c>
      <x:c r="F201" s="2" t="s">
        <x:v>79</x:v>
      </x:c>
      <x:c r="G201" s="2" t="s">
        <x:v>80</x:v>
      </x:c>
      <x:c r="H201" s="2" t="s">
        <x:v>81</x:v>
      </x:c>
      <x:c r="I201" s="2" t="s">
        <x:v>82</x:v>
      </x:c>
      <x:c r="J201" s="2">
        <x:v>15</x:v>
      </x:c>
      <x:c r="K201" s="5">
        <x:v>57.1</x:v>
      </x:c>
      <x:c r="L201" s="2">
        <x:v>690</x:v>
      </x:c>
      <x:c r="M201" s="2" t="s">
        <x:v>83</x:v>
      </x:c>
      <x:c r="N201" s="2" t="s">
        <x:v>100</x:v>
      </x:c>
      <x:c r="O201" s="6" t="b">
        <x:v>1</x:v>
      </x:c>
      <x:c r="P201" s="2" t="n">
        <x:f>COUNTIF('模块测量'!$B$2:$B$801,A201)</x:f>
        <x:v>4</x:v>
      </x:c>
      <x:c r="Q201" s="2" t="str">
        <x:f t="shared" si="6">IF(P201=4,"PASS","CHECK")</x:f>
        <x:v>PASS</x:v>
      </x:c>
    </x:row>
  </x:sheetData>
  <x:conditionalFormatting sqref="Q2:Q201">
    <x:cfRule type="containsText" dxfId="3" priority="1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bf543b62ecbb4e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5" width="24" customWidth="1"/>
    <x:col min="6" max="17" width="22" customWidth="1"/>
  </x:cols>
  <x:sheetData>
    <x:row r="1" ht="34" customHeight="1">
      <x:c r="A1" s="1" t="s">
        <x:v>0</x:v>
      </x:c>
      <x:c r="B1" s="1" t="s">
        <x:v>63</x:v>
      </x:c>
      <x:c r="C1" s="1" t="s">
        <x:v>64</x:v>
      </x:c>
      <x:c r="D1" s="1" t="s">
        <x:v>285</x:v>
      </x:c>
      <x:c r="E1" s="1" t="s">
        <x:v>286</x:v>
      </x:c>
      <x:c r="F1" s="1" t="s">
        <x:v>287</x:v>
      </x:c>
      <x:c r="G1" s="1" t="s">
        <x:v>288</x:v>
      </x:c>
      <x:c r="H1" s="1" t="s">
        <x:v>289</x:v>
      </x:c>
      <x:c r="I1" s="1" t="s">
        <x:v>290</x:v>
      </x:c>
      <x:c r="J1" s="1" t="s">
        <x:v>291</x:v>
      </x:c>
      <x:c r="K1" s="1" t="s">
        <x:v>292</x:v>
      </x:c>
      <x:c r="L1" s="1" t="s">
        <x:v>293</x:v>
      </x:c>
      <x:c r="M1" s="1" t="s">
        <x:v>294</x:v>
      </x:c>
      <x:c r="N1" s="1" t="s">
        <x:v>67</x:v>
      </x:c>
      <x:c r="O1" s="1" t="s">
        <x:v>72</x:v>
      </x:c>
      <x:c r="P1" s="1" t="s">
        <x:v>73</x:v>
      </x:c>
      <x:c r="Q1" s="1" t="s">
        <x:v>2</x:v>
      </x:c>
    </x:row>
    <x:row r="2" ht="15">
      <x:c r="A2" s="2" t="s">
        <x:v>11</x:v>
      </x:c>
      <x:c r="B2" s="2" t="s">
        <x:v>78</x:v>
      </x:c>
      <x:c r="C2" s="2">
        <x:v>1</x:v>
      </x:c>
      <x:c r="D2" s="2" t="s">
        <x:v>295</x:v>
      </x:c>
      <x:c r="E2" s="2" t="s">
        <x:v>296</x:v>
      </x:c>
      <x:c r="F2" s="7">
        <x:v>0.37785000000000002</x:v>
      </x:c>
      <x:c r="G2" s="2" t="s">
        <x:v>297</x:v>
      </x:c>
      <x:c r="H2" s="8">
        <x:v>3.5</x:v>
      </x:c>
      <x:c r="I2" s="9" t="n">
        <x:f t="shared" ref="I2:I65" si="0">IFERROR(ABS(F2)/H2,"")</x:f>
        <x:v>0.10795714285714286</x:v>
      </x:c>
      <x:c r="J2" s="2" t="s">
        <x:v>298</x:v>
      </x:c>
      <x:c r="K2" s="8">
        <x:v>0.93915999999999999</x:v>
      </x:c>
      <x:c r="L2" s="2" t="s">
        <x:v>299</x:v>
      </x:c>
      <x:c r="M2" s="2">
        <x:v>1</x:v>
      </x:c>
      <x:c r="N2" s="2" t="s">
        <x:v>79</x:v>
      </x:c>
      <x:c r="O2" s="5">
        <x:v>62.1</x:v>
      </x:c>
      <x:c r="P2" s="2">
        <x:v>505</x:v>
      </x:c>
      <x:c r="Q2" s="2" t="n">
        <x:f>IF(OR(J2="positive",J2="negative"),1,0)</x:f>
        <x:v>1</x:v>
      </x:c>
    </x:row>
    <x:row r="3" ht="15">
      <x:c r="A3" s="2" t="s">
        <x:v>11</x:v>
      </x:c>
      <x:c r="B3" s="2" t="s">
        <x:v>78</x:v>
      </x:c>
      <x:c r="C3" s="2">
        <x:v>1</x:v>
      </x:c>
      <x:c r="D3" s="2" t="s">
        <x:v>300</x:v>
      </x:c>
      <x:c r="E3" s="2" t="s">
        <x:v>301</x:v>
      </x:c>
      <x:c r="F3" s="7">
        <x:v>0.10150000000000001</x:v>
      </x:c>
      <x:c r="G3" s="2" t="s">
        <x:v>302</x:v>
      </x:c>
      <x:c r="H3" s="8">
        <x:v>0.45</x:v>
      </x:c>
      <x:c r="I3" s="9" t="n">
        <x:f t="shared" si="0">IFERROR(ABS(F3)/H3,"")</x:f>
        <x:v>0.22555555555555556</x:v>
      </x:c>
      <x:c r="J3" s="2" t="s">
        <x:v>298</x:v>
      </x:c>
      <x:c r="K3" s="8">
        <x:v>0.93940000000000001</x:v>
      </x:c>
      <x:c r="L3" s="2" t="s">
        <x:v>299</x:v>
      </x:c>
      <x:c r="M3" s="2">
        <x:v>1</x:v>
      </x:c>
      <x:c r="N3" s="2" t="s">
        <x:v>79</x:v>
      </x:c>
      <x:c r="O3" s="5">
        <x:v>62.1</x:v>
      </x:c>
      <x:c r="P3" s="2">
        <x:v>505</x:v>
      </x:c>
      <x:c r="Q3" s="2" t="n">
        <x:f>IF(OR(J3="positive",J3="negative"),1,0)</x:f>
        <x:v>1</x:v>
      </x:c>
    </x:row>
    <x:row r="4" ht="15">
      <x:c r="A4" s="2" t="s">
        <x:v>11</x:v>
      </x:c>
      <x:c r="B4" s="2" t="s">
        <x:v>78</x:v>
      </x:c>
      <x:c r="C4" s="2">
        <x:v>1</x:v>
      </x:c>
      <x:c r="D4" s="2" t="s">
        <x:v>18</x:v>
      </x:c>
      <x:c r="E4" s="2" t="s">
        <x:v>303</x:v>
      </x:c>
      <x:c r="F4" s="7">
        <x:v>-8.5500000000000003E-3</x:v>
      </x:c>
      <x:c r="G4" s="2" t="s">
        <x:v>304</x:v>
      </x:c>
      <x:c r="H4" s="8">
        <x:v>7.4999999999999997E-2</x:v>
      </x:c>
      <x:c r="I4" s="9" t="n">
        <x:f t="shared" si="0">IFERROR(ABS(F4)/H4,"")</x:f>
        <x:v>0.114</x:v>
      </x:c>
      <x:c r="J4" s="2" t="s">
        <x:v>298</x:v>
      </x:c>
      <x:c r="K4" s="8">
        <x:v>0.87578999999999996</x:v>
      </x:c>
      <x:c r="L4" s="2" t="s">
        <x:v>299</x:v>
      </x:c>
      <x:c r="M4" s="2">
        <x:v>1</x:v>
      </x:c>
      <x:c r="N4" s="2" t="s">
        <x:v>79</x:v>
      </x:c>
      <x:c r="O4" s="5">
        <x:v>62.1</x:v>
      </x:c>
      <x:c r="P4" s="2">
        <x:v>505</x:v>
      </x:c>
      <x:c r="Q4" s="2" t="n">
        <x:f>IF(OR(J4="positive",J4="negative"),1,0)</x:f>
        <x:v>1</x:v>
      </x:c>
    </x:row>
    <x:row r="5" ht="15">
      <x:c r="A5" s="2" t="s">
        <x:v>11</x:v>
      </x:c>
      <x:c r="B5" s="2" t="s">
        <x:v>78</x:v>
      </x:c>
      <x:c r="C5" s="2">
        <x:v>1</x:v>
      </x:c>
      <x:c r="D5" s="2" t="s">
        <x:v>305</x:v>
      </x:c>
      <x:c r="E5" s="2" t="s">
        <x:v>306</x:v>
      </x:c>
      <x:c r="F5" s="7">
        <x:v>-4.759E-2</x:v>
      </x:c>
      <x:c r="G5" s="2" t="s">
        <x:v>304</x:v>
      </x:c>
      <x:c r="H5" s="8">
        <x:v>0.3</x:v>
      </x:c>
      <x:c r="I5" s="9" t="n">
        <x:f t="shared" si="0">IFERROR(ABS(F5)/H5,"")</x:f>
        <x:v>0.15863333333333335</x:v>
      </x:c>
      <x:c r="J5" s="2" t="s">
        <x:v>298</x:v>
      </x:c>
      <x:c r="K5" s="8">
        <x:v>0.93701000000000001</x:v>
      </x:c>
      <x:c r="L5" s="2" t="s">
        <x:v>299</x:v>
      </x:c>
      <x:c r="M5" s="2">
        <x:v>1</x:v>
      </x:c>
      <x:c r="N5" s="2" t="s">
        <x:v>79</x:v>
      </x:c>
      <x:c r="O5" s="5">
        <x:v>62.1</x:v>
      </x:c>
      <x:c r="P5" s="2">
        <x:v>505</x:v>
      </x:c>
      <x:c r="Q5" s="2" t="n">
        <x:f>IF(OR(J5="positive",J5="negative"),1,0)</x:f>
        <x:v>1</x:v>
      </x:c>
    </x:row>
    <x:row r="6" ht="15">
      <x:c r="A6" s="2" t="s">
        <x:v>11</x:v>
      </x:c>
      <x:c r="B6" s="2" t="s">
        <x:v>85</x:v>
      </x:c>
      <x:c r="C6" s="2">
        <x:v>2</x:v>
      </x:c>
      <x:c r="D6" s="2" t="s">
        <x:v>295</x:v>
      </x:c>
      <x:c r="E6" s="2" t="s">
        <x:v>296</x:v>
      </x:c>
      <x:c r="F6" s="7">
        <x:v>0.53808999999999996</x:v>
      </x:c>
      <x:c r="G6" s="2" t="s">
        <x:v>297</x:v>
      </x:c>
      <x:c r="H6" s="8">
        <x:v>3.5</x:v>
      </x:c>
      <x:c r="I6" s="9" t="n">
        <x:f t="shared" si="0">IFERROR(ABS(F6)/H6,"")</x:f>
        <x:v>0.15374</x:v>
      </x:c>
      <x:c r="J6" s="2" t="s">
        <x:v>298</x:v>
      </x:c>
      <x:c r="K6" s="8">
        <x:v>0.97382000000000002</x:v>
      </x:c>
      <x:c r="L6" s="2" t="s">
        <x:v>299</x:v>
      </x:c>
      <x:c r="M6" s="2">
        <x:v>1</x:v>
      </x:c>
      <x:c r="N6" s="2" t="s">
        <x:v>79</x:v>
      </x:c>
      <x:c r="O6" s="5">
        <x:v>58.5</x:v>
      </x:c>
      <x:c r="P6" s="2">
        <x:v>560</x:v>
      </x:c>
      <x:c r="Q6" s="2" t="n">
        <x:f>IF(OR(J6="positive",J6="negative"),1,0)</x:f>
        <x:v>1</x:v>
      </x:c>
    </x:row>
    <x:row r="7" ht="15">
      <x:c r="A7" s="2" t="s">
        <x:v>11</x:v>
      </x:c>
      <x:c r="B7" s="2" t="s">
        <x:v>85</x:v>
      </x:c>
      <x:c r="C7" s="2">
        <x:v>2</x:v>
      </x:c>
      <x:c r="D7" s="2" t="s">
        <x:v>300</x:v>
      </x:c>
      <x:c r="E7" s="2" t="s">
        <x:v>301</x:v>
      </x:c>
      <x:c r="F7" s="7">
        <x:v>8.1610000000000002E-2</x:v>
      </x:c>
      <x:c r="G7" s="2" t="s">
        <x:v>302</x:v>
      </x:c>
      <x:c r="H7" s="8">
        <x:v>0.45</x:v>
      </x:c>
      <x:c r="I7" s="9" t="n">
        <x:f t="shared" si="0">IFERROR(ABS(F7)/H7,"")</x:f>
        <x:v>0.18135555555555555</x:v>
      </x:c>
      <x:c r="J7" s="2" t="s">
        <x:v>298</x:v>
      </x:c>
      <x:c r="K7" s="8">
        <x:v>0.93418000000000001</x:v>
      </x:c>
      <x:c r="L7" s="2" t="s">
        <x:v>299</x:v>
      </x:c>
      <x:c r="M7" s="2">
        <x:v>1</x:v>
      </x:c>
      <x:c r="N7" s="2" t="s">
        <x:v>79</x:v>
      </x:c>
      <x:c r="O7" s="5">
        <x:v>58.5</x:v>
      </x:c>
      <x:c r="P7" s="2">
        <x:v>560</x:v>
      </x:c>
      <x:c r="Q7" s="2" t="n">
        <x:f>IF(OR(J7="positive",J7="negative"),1,0)</x:f>
        <x:v>1</x:v>
      </x:c>
    </x:row>
    <x:row r="8" ht="15">
      <x:c r="A8" s="2" t="s">
        <x:v>11</x:v>
      </x:c>
      <x:c r="B8" s="2" t="s">
        <x:v>85</x:v>
      </x:c>
      <x:c r="C8" s="2">
        <x:v>2</x:v>
      </x:c>
      <x:c r="D8" s="2" t="s">
        <x:v>18</x:v>
      </x:c>
      <x:c r="E8" s="2" t="s">
        <x:v>303</x:v>
      </x:c>
      <x:c r="F8" s="7">
        <x:v>-9.5300000000000003E-3</x:v>
      </x:c>
      <x:c r="G8" s="2" t="s">
        <x:v>304</x:v>
      </x:c>
      <x:c r="H8" s="8">
        <x:v>7.4999999999999997E-2</x:v>
      </x:c>
      <x:c r="I8" s="9" t="n">
        <x:f t="shared" si="0">IFERROR(ABS(F8)/H8,"")</x:f>
        <x:v>0.1270666666666667</x:v>
      </x:c>
      <x:c r="J8" s="2" t="s">
        <x:v>307</x:v>
      </x:c>
      <x:c r="K8" s="8">
        <x:v>0.50678999999999996</x:v>
      </x:c>
      <x:c r="L8" s="2" t="s">
        <x:v>308</x:v>
      </x:c>
      <x:c r="M8" s="2">
        <x:v>1</x:v>
      </x:c>
      <x:c r="N8" s="2" t="s">
        <x:v>79</x:v>
      </x:c>
      <x:c r="O8" s="5">
        <x:v>58.5</x:v>
      </x:c>
      <x:c r="P8" s="2">
        <x:v>560</x:v>
      </x:c>
      <x:c r="Q8" s="2" t="n">
        <x:f>IF(OR(J8="positive",J8="negative"),1,0)</x:f>
        <x:v>0</x:v>
      </x:c>
    </x:row>
    <x:row r="9" ht="15">
      <x:c r="A9" s="2" t="s">
        <x:v>11</x:v>
      </x:c>
      <x:c r="B9" s="2" t="s">
        <x:v>85</x:v>
      </x:c>
      <x:c r="C9" s="2">
        <x:v>2</x:v>
      </x:c>
      <x:c r="D9" s="2" t="s">
        <x:v>305</x:v>
      </x:c>
      <x:c r="E9" s="2" t="s">
        <x:v>306</x:v>
      </x:c>
      <x:c r="F9" s="7">
        <x:v>-3.5999999999999999E-3</x:v>
      </x:c>
      <x:c r="G9" s="2" t="s">
        <x:v>304</x:v>
      </x:c>
      <x:c r="H9" s="8">
        <x:v>0.3</x:v>
      </x:c>
      <x:c r="I9" s="9" t="n">
        <x:f t="shared" si="0">IFERROR(ABS(F9)/H9,"")</x:f>
        <x:v>0.012</x:v>
      </x:c>
      <x:c r="J9" s="2" t="s">
        <x:v>298</x:v>
      </x:c>
      <x:c r="K9" s="8">
        <x:v>0.97275</x:v>
      </x:c>
      <x:c r="L9" s="2" t="s">
        <x:v>299</x:v>
      </x:c>
      <x:c r="M9" s="2">
        <x:v>1</x:v>
      </x:c>
      <x:c r="N9" s="2" t="s">
        <x:v>79</x:v>
      </x:c>
      <x:c r="O9" s="5">
        <x:v>58.5</x:v>
      </x:c>
      <x:c r="P9" s="2">
        <x:v>560</x:v>
      </x:c>
      <x:c r="Q9" s="2" t="n">
        <x:f>IF(OR(J9="positive",J9="negative"),1,0)</x:f>
        <x:v>1</x:v>
      </x:c>
    </x:row>
    <x:row r="10" ht="15">
      <x:c r="A10" s="2" t="s">
        <x:v>11</x:v>
      </x:c>
      <x:c r="B10" s="2" t="s">
        <x:v>86</x:v>
      </x:c>
      <x:c r="C10" s="2">
        <x:v>3</x:v>
      </x:c>
      <x:c r="D10" s="2" t="s">
        <x:v>295</x:v>
      </x:c>
      <x:c r="E10" s="2" t="s">
        <x:v>296</x:v>
      </x:c>
      <x:c r="F10" s="7">
        <x:v>0.57725000000000004</x:v>
      </x:c>
      <x:c r="G10" s="2" t="s">
        <x:v>297</x:v>
      </x:c>
      <x:c r="H10" s="8">
        <x:v>3.5</x:v>
      </x:c>
      <x:c r="I10" s="9" t="n">
        <x:f t="shared" si="0">IFERROR(ABS(F10)/H10,"")</x:f>
        <x:v>0.16492857142857145</x:v>
      </x:c>
      <x:c r="J10" s="2" t="s">
        <x:v>298</x:v>
      </x:c>
      <x:c r="K10" s="8">
        <x:v>0.93233999999999995</x:v>
      </x:c>
      <x:c r="L10" s="2" t="s">
        <x:v>299</x:v>
      </x:c>
      <x:c r="M10" s="2">
        <x:v>1</x:v>
      </x:c>
      <x:c r="N10" s="2" t="s">
        <x:v>79</x:v>
      </x:c>
      <x:c r="O10" s="5">
        <x:v>63.8</x:v>
      </x:c>
      <x:c r="P10" s="2">
        <x:v>338</x:v>
      </x:c>
      <x:c r="Q10" s="2" t="n">
        <x:f>IF(OR(J10="positive",J10="negative"),1,0)</x:f>
        <x:v>1</x:v>
      </x:c>
    </x:row>
    <x:row r="11" ht="15">
      <x:c r="A11" s="2" t="s">
        <x:v>11</x:v>
      </x:c>
      <x:c r="B11" s="2" t="s">
        <x:v>86</x:v>
      </x:c>
      <x:c r="C11" s="2">
        <x:v>3</x:v>
      </x:c>
      <x:c r="D11" s="2" t="s">
        <x:v>300</x:v>
      </x:c>
      <x:c r="E11" s="2" t="s">
        <x:v>301</x:v>
      </x:c>
      <x:c r="F11" s="7">
        <x:v>0.11336</x:v>
      </x:c>
      <x:c r="G11" s="2" t="s">
        <x:v>302</x:v>
      </x:c>
      <x:c r="H11" s="8">
        <x:v>0.45</x:v>
      </x:c>
      <x:c r="I11" s="9" t="n">
        <x:f t="shared" si="0">IFERROR(ABS(F11)/H11,"")</x:f>
        <x:v>0.2519111111111111</x:v>
      </x:c>
      <x:c r="J11" s="2" t="s">
        <x:v>298</x:v>
      </x:c>
      <x:c r="K11" s="8">
        <x:v>0.90153000000000005</x:v>
      </x:c>
      <x:c r="L11" s="2" t="s">
        <x:v>299</x:v>
      </x:c>
      <x:c r="M11" s="2">
        <x:v>1</x:v>
      </x:c>
      <x:c r="N11" s="2" t="s">
        <x:v>79</x:v>
      </x:c>
      <x:c r="O11" s="5">
        <x:v>63.8</x:v>
      </x:c>
      <x:c r="P11" s="2">
        <x:v>338</x:v>
      </x:c>
      <x:c r="Q11" s="2" t="n">
        <x:f>IF(OR(J11="positive",J11="negative"),1,0)</x:f>
        <x:v>1</x:v>
      </x:c>
    </x:row>
    <x:row r="12" ht="15">
      <x:c r="A12" s="2" t="s">
        <x:v>11</x:v>
      </x:c>
      <x:c r="B12" s="2" t="s">
        <x:v>86</x:v>
      </x:c>
      <x:c r="C12" s="2">
        <x:v>3</x:v>
      </x:c>
      <x:c r="D12" s="2" t="s">
        <x:v>18</x:v>
      </x:c>
      <x:c r="E12" s="2" t="s">
        <x:v>303</x:v>
      </x:c>
      <x:c r="F12" s="7">
        <x:v>-3.7399999999999998E-3</x:v>
      </x:c>
      <x:c r="G12" s="2" t="s">
        <x:v>304</x:v>
      </x:c>
      <x:c r="H12" s="8">
        <x:v>7.4999999999999997E-2</x:v>
      </x:c>
      <x:c r="I12" s="9" t="n">
        <x:f t="shared" si="0">IFERROR(ABS(F12)/H12,"")</x:f>
        <x:v>0.04986666666666666</x:v>
      </x:c>
      <x:c r="J12" s="2" t="s">
        <x:v>298</x:v>
      </x:c>
      <x:c r="K12" s="8">
        <x:v>0.93855999999999995</x:v>
      </x:c>
      <x:c r="L12" s="2" t="s">
        <x:v>299</x:v>
      </x:c>
      <x:c r="M12" s="2">
        <x:v>1</x:v>
      </x:c>
      <x:c r="N12" s="2" t="s">
        <x:v>79</x:v>
      </x:c>
      <x:c r="O12" s="5">
        <x:v>63.8</x:v>
      </x:c>
      <x:c r="P12" s="2">
        <x:v>338</x:v>
      </x:c>
      <x:c r="Q12" s="2" t="n">
        <x:f>IF(OR(J12="positive",J12="negative"),1,0)</x:f>
        <x:v>1</x:v>
      </x:c>
    </x:row>
    <x:row r="13" ht="15">
      <x:c r="A13" s="2" t="s">
        <x:v>11</x:v>
      </x:c>
      <x:c r="B13" s="2" t="s">
        <x:v>86</x:v>
      </x:c>
      <x:c r="C13" s="2">
        <x:v>3</x:v>
      </x:c>
      <x:c r="D13" s="2" t="s">
        <x:v>305</x:v>
      </x:c>
      <x:c r="E13" s="2" t="s">
        <x:v>306</x:v>
      </x:c>
      <x:c r="F13" s="7">
        <x:v>-3.832E-2</x:v>
      </x:c>
      <x:c r="G13" s="2" t="s">
        <x:v>304</x:v>
      </x:c>
      <x:c r="H13" s="8">
        <x:v>0.3</x:v>
      </x:c>
      <x:c r="I13" s="9" t="n">
        <x:f t="shared" si="0">IFERROR(ABS(F13)/H13,"")</x:f>
        <x:v>0.12773333333333334</x:v>
      </x:c>
      <x:c r="J13" s="2" t="s">
        <x:v>298</x:v>
      </x:c>
      <x:c r="K13" s="8">
        <x:v>0.93679999999999997</x:v>
      </x:c>
      <x:c r="L13" s="2" t="s">
        <x:v>299</x:v>
      </x:c>
      <x:c r="M13" s="2">
        <x:v>1</x:v>
      </x:c>
      <x:c r="N13" s="2" t="s">
        <x:v>79</x:v>
      </x:c>
      <x:c r="O13" s="5">
        <x:v>63.8</x:v>
      </x:c>
      <x:c r="P13" s="2">
        <x:v>338</x:v>
      </x:c>
      <x:c r="Q13" s="2" t="n">
        <x:f>IF(OR(J13="positive",J13="negative"),1,0)</x:f>
        <x:v>1</x:v>
      </x:c>
    </x:row>
    <x:row r="14" ht="15">
      <x:c r="A14" s="2" t="s">
        <x:v>11</x:v>
      </x:c>
      <x:c r="B14" s="2" t="s">
        <x:v>87</x:v>
      </x:c>
      <x:c r="C14" s="2">
        <x:v>4</x:v>
      </x:c>
      <x:c r="D14" s="2" t="s">
        <x:v>295</x:v>
      </x:c>
      <x:c r="E14" s="2" t="s">
        <x:v>296</x:v>
      </x:c>
      <x:c r="F14" s="7">
        <x:v>0.68025000000000002</x:v>
      </x:c>
      <x:c r="G14" s="2" t="s">
        <x:v>297</x:v>
      </x:c>
      <x:c r="H14" s="8">
        <x:v>3.5</x:v>
      </x:c>
      <x:c r="I14" s="9" t="n">
        <x:f t="shared" si="0">IFERROR(ABS(F14)/H14,"")</x:f>
        <x:v>0.19435714285714287</x:v>
      </x:c>
      <x:c r="J14" s="2" t="s">
        <x:v>298</x:v>
      </x:c>
      <x:c r="K14" s="8">
        <x:v>0.95265</x:v>
      </x:c>
      <x:c r="L14" s="2" t="s">
        <x:v>299</x:v>
      </x:c>
      <x:c r="M14" s="2">
        <x:v>1</x:v>
      </x:c>
      <x:c r="N14" s="2" t="s">
        <x:v>79</x:v>
      </x:c>
      <x:c r="O14" s="5">
        <x:v>62.5</x:v>
      </x:c>
      <x:c r="P14" s="2">
        <x:v>430</x:v>
      </x:c>
      <x:c r="Q14" s="2" t="n">
        <x:f>IF(OR(J14="positive",J14="negative"),1,0)</x:f>
        <x:v>1</x:v>
      </x:c>
    </x:row>
    <x:row r="15" ht="15">
      <x:c r="A15" s="2" t="s">
        <x:v>11</x:v>
      </x:c>
      <x:c r="B15" s="2" t="s">
        <x:v>87</x:v>
      </x:c>
      <x:c r="C15" s="2">
        <x:v>4</x:v>
      </x:c>
      <x:c r="D15" s="2" t="s">
        <x:v>300</x:v>
      </x:c>
      <x:c r="E15" s="2" t="s">
        <x:v>301</x:v>
      </x:c>
      <x:c r="F15" s="7">
        <x:v>7.4690000000000006E-2</x:v>
      </x:c>
      <x:c r="G15" s="2" t="s">
        <x:v>302</x:v>
      </x:c>
      <x:c r="H15" s="8">
        <x:v>0.45</x:v>
      </x:c>
      <x:c r="I15" s="9" t="n">
        <x:f t="shared" si="0">IFERROR(ABS(F15)/H15,"")</x:f>
        <x:v>0.16597777777777778</x:v>
      </x:c>
      <x:c r="J15" s="2" t="s">
        <x:v>298</x:v>
      </x:c>
      <x:c r="K15" s="8">
        <x:v>0.96582999999999997</x:v>
      </x:c>
      <x:c r="L15" s="2" t="s">
        <x:v>299</x:v>
      </x:c>
      <x:c r="M15" s="2">
        <x:v>1</x:v>
      </x:c>
      <x:c r="N15" s="2" t="s">
        <x:v>79</x:v>
      </x:c>
      <x:c r="O15" s="5">
        <x:v>62.5</x:v>
      </x:c>
      <x:c r="P15" s="2">
        <x:v>430</x:v>
      </x:c>
      <x:c r="Q15" s="2" t="n">
        <x:f>IF(OR(J15="positive",J15="negative"),1,0)</x:f>
        <x:v>1</x:v>
      </x:c>
    </x:row>
    <x:row r="16" ht="15">
      <x:c r="A16" s="2" t="s">
        <x:v>11</x:v>
      </x:c>
      <x:c r="B16" s="2" t="s">
        <x:v>87</x:v>
      </x:c>
      <x:c r="C16" s="2">
        <x:v>4</x:v>
      </x:c>
      <x:c r="D16" s="2" t="s">
        <x:v>18</x:v>
      </x:c>
      <x:c r="E16" s="2" t="s">
        <x:v>303</x:v>
      </x:c>
      <x:c r="F16" s="7">
        <x:v>-1.4789999999999999E-2</x:v>
      </x:c>
      <x:c r="G16" s="2" t="s">
        <x:v>304</x:v>
      </x:c>
      <x:c r="H16" s="8">
        <x:v>7.4999999999999997E-2</x:v>
      </x:c>
      <x:c r="I16" s="9" t="n">
        <x:f t="shared" si="0">IFERROR(ABS(F16)/H16,"")</x:f>
        <x:v>0.1972</x:v>
      </x:c>
      <x:c r="J16" s="2" t="s">
        <x:v>298</x:v>
      </x:c>
      <x:c r="K16" s="8">
        <x:v>0.94511999999999996</x:v>
      </x:c>
      <x:c r="L16" s="2" t="s">
        <x:v>299</x:v>
      </x:c>
      <x:c r="M16" s="2">
        <x:v>1</x:v>
      </x:c>
      <x:c r="N16" s="2" t="s">
        <x:v>79</x:v>
      </x:c>
      <x:c r="O16" s="5">
        <x:v>62.5</x:v>
      </x:c>
      <x:c r="P16" s="2">
        <x:v>430</x:v>
      </x:c>
      <x:c r="Q16" s="2" t="n">
        <x:f>IF(OR(J16="positive",J16="negative"),1,0)</x:f>
        <x:v>1</x:v>
      </x:c>
    </x:row>
    <x:row r="17" ht="15">
      <x:c r="A17" s="2" t="s">
        <x:v>11</x:v>
      </x:c>
      <x:c r="B17" s="2" t="s">
        <x:v>87</x:v>
      </x:c>
      <x:c r="C17" s="2">
        <x:v>4</x:v>
      </x:c>
      <x:c r="D17" s="2" t="s">
        <x:v>305</x:v>
      </x:c>
      <x:c r="E17" s="2" t="s">
        <x:v>306</x:v>
      </x:c>
      <x:c r="F17" s="7">
        <x:v>-2.5000000000000001E-4</x:v>
      </x:c>
      <x:c r="G17" s="2" t="s">
        <x:v>304</x:v>
      </x:c>
      <x:c r="H17" s="8">
        <x:v>0.3</x:v>
      </x:c>
      <x:c r="I17" s="9" t="n">
        <x:f t="shared" si="0">IFERROR(ABS(F17)/H17,"")</x:f>
        <x:v>0.0008333333333333334</x:v>
      </x:c>
      <x:c r="J17" s="2" t="s">
        <x:v>298</x:v>
      </x:c>
      <x:c r="K17" s="8">
        <x:v>0.95615000000000006</x:v>
      </x:c>
      <x:c r="L17" s="2" t="s">
        <x:v>299</x:v>
      </x:c>
      <x:c r="M17" s="2">
        <x:v>1</x:v>
      </x:c>
      <x:c r="N17" s="2" t="s">
        <x:v>79</x:v>
      </x:c>
      <x:c r="O17" s="5">
        <x:v>62.5</x:v>
      </x:c>
      <x:c r="P17" s="2">
        <x:v>430</x:v>
      </x:c>
      <x:c r="Q17" s="2" t="n">
        <x:f>IF(OR(J17="positive",J17="negative"),1,0)</x:f>
        <x:v>1</x:v>
      </x:c>
    </x:row>
    <x:row r="18" ht="15">
      <x:c r="A18" s="2" t="s">
        <x:v>11</x:v>
      </x:c>
      <x:c r="B18" s="2" t="s">
        <x:v>88</x:v>
      </x:c>
      <x:c r="C18" s="2">
        <x:v>5</x:v>
      </x:c>
      <x:c r="D18" s="2" t="s">
        <x:v>295</x:v>
      </x:c>
      <x:c r="E18" s="2" t="s">
        <x:v>296</x:v>
      </x:c>
      <x:c r="F18" s="7">
        <x:v>0.23884</x:v>
      </x:c>
      <x:c r="G18" s="2" t="s">
        <x:v>297</x:v>
      </x:c>
      <x:c r="H18" s="8">
        <x:v>3.5</x:v>
      </x:c>
      <x:c r="I18" s="9" t="n">
        <x:f t="shared" si="0">IFERROR(ABS(F18)/H18,"")</x:f>
        <x:v>0.06824</x:v>
      </x:c>
      <x:c r="J18" s="2" t="s">
        <x:v>298</x:v>
      </x:c>
      <x:c r="K18" s="8">
        <x:v>0.92781000000000002</x:v>
      </x:c>
      <x:c r="L18" s="2" t="s">
        <x:v>299</x:v>
      </x:c>
      <x:c r="M18" s="2">
        <x:v>1</x:v>
      </x:c>
      <x:c r="N18" s="2" t="s">
        <x:v>79</x:v>
      </x:c>
      <x:c r="O18" s="5">
        <x:v>59.8</x:v>
      </x:c>
      <x:c r="P18" s="2">
        <x:v>474</x:v>
      </x:c>
      <x:c r="Q18" s="2" t="n">
        <x:f>IF(OR(J18="positive",J18="negative"),1,0)</x:f>
        <x:v>1</x:v>
      </x:c>
    </x:row>
    <x:row r="19" ht="15">
      <x:c r="A19" s="2" t="s">
        <x:v>11</x:v>
      </x:c>
      <x:c r="B19" s="2" t="s">
        <x:v>88</x:v>
      </x:c>
      <x:c r="C19" s="2">
        <x:v>5</x:v>
      </x:c>
      <x:c r="D19" s="2" t="s">
        <x:v>300</x:v>
      </x:c>
      <x:c r="E19" s="2" t="s">
        <x:v>301</x:v>
      </x:c>
      <x:c r="F19" s="7">
        <x:v>9.3880000000000005E-2</x:v>
      </x:c>
      <x:c r="G19" s="2" t="s">
        <x:v>302</x:v>
      </x:c>
      <x:c r="H19" s="8">
        <x:v>0.45</x:v>
      </x:c>
      <x:c r="I19" s="9" t="n">
        <x:f t="shared" si="0">IFERROR(ABS(F19)/H19,"")</x:f>
        <x:v>0.20862222222222224</x:v>
      </x:c>
      <x:c r="J19" s="2" t="s">
        <x:v>298</x:v>
      </x:c>
      <x:c r="K19" s="8">
        <x:v>0.95523000000000002</x:v>
      </x:c>
      <x:c r="L19" s="2" t="s">
        <x:v>299</x:v>
      </x:c>
      <x:c r="M19" s="2">
        <x:v>1</x:v>
      </x:c>
      <x:c r="N19" s="2" t="s">
        <x:v>79</x:v>
      </x:c>
      <x:c r="O19" s="5">
        <x:v>59.8</x:v>
      </x:c>
      <x:c r="P19" s="2">
        <x:v>474</x:v>
      </x:c>
      <x:c r="Q19" s="2" t="n">
        <x:f>IF(OR(J19="positive",J19="negative"),1,0)</x:f>
        <x:v>1</x:v>
      </x:c>
    </x:row>
    <x:row r="20" ht="15">
      <x:c r="A20" s="2" t="s">
        <x:v>11</x:v>
      </x:c>
      <x:c r="B20" s="2" t="s">
        <x:v>88</x:v>
      </x:c>
      <x:c r="C20" s="2">
        <x:v>5</x:v>
      </x:c>
      <x:c r="D20" s="2" t="s">
        <x:v>18</x:v>
      </x:c>
      <x:c r="E20" s="2" t="s">
        <x:v>303</x:v>
      </x:c>
      <x:c r="F20" s="7">
        <x:v>-1.1039999999999999E-2</x:v>
      </x:c>
      <x:c r="G20" s="2" t="s">
        <x:v>304</x:v>
      </x:c>
      <x:c r="H20" s="8">
        <x:v>7.4999999999999997E-2</x:v>
      </x:c>
      <x:c r="I20" s="9" t="n">
        <x:f t="shared" si="0">IFERROR(ABS(F20)/H20,"")</x:f>
        <x:v>0.1472</x:v>
      </x:c>
      <x:c r="J20" s="2" t="s">
        <x:v>298</x:v>
      </x:c>
      <x:c r="K20" s="8">
        <x:v>0.89187000000000005</x:v>
      </x:c>
      <x:c r="L20" s="2" t="s">
        <x:v>299</x:v>
      </x:c>
      <x:c r="M20" s="2">
        <x:v>1</x:v>
      </x:c>
      <x:c r="N20" s="2" t="s">
        <x:v>79</x:v>
      </x:c>
      <x:c r="O20" s="5">
        <x:v>59.8</x:v>
      </x:c>
      <x:c r="P20" s="2">
        <x:v>474</x:v>
      </x:c>
      <x:c r="Q20" s="2" t="n">
        <x:f>IF(OR(J20="positive",J20="negative"),1,0)</x:f>
        <x:v>1</x:v>
      </x:c>
    </x:row>
    <x:row r="21" ht="15">
      <x:c r="A21" s="2" t="s">
        <x:v>11</x:v>
      </x:c>
      <x:c r="B21" s="2" t="s">
        <x:v>88</x:v>
      </x:c>
      <x:c r="C21" s="2">
        <x:v>5</x:v>
      </x:c>
      <x:c r="D21" s="2" t="s">
        <x:v>305</x:v>
      </x:c>
      <x:c r="E21" s="2" t="s">
        <x:v>306</x:v>
      </x:c>
      <x:c r="F21" s="7">
        <x:v>-2.972E-2</x:v>
      </x:c>
      <x:c r="G21" s="2" t="s">
        <x:v>304</x:v>
      </x:c>
      <x:c r="H21" s="8">
        <x:v>0.3</x:v>
      </x:c>
      <x:c r="I21" s="9" t="n">
        <x:f t="shared" si="0">IFERROR(ABS(F21)/H21,"")</x:f>
        <x:v>0.09906666666666666</x:v>
      </x:c>
      <x:c r="J21" s="2" t="s">
        <x:v>298</x:v>
      </x:c>
      <x:c r="K21" s="8">
        <x:v>0.93861000000000006</x:v>
      </x:c>
      <x:c r="L21" s="2" t="s">
        <x:v>299</x:v>
      </x:c>
      <x:c r="M21" s="2">
        <x:v>1</x:v>
      </x:c>
      <x:c r="N21" s="2" t="s">
        <x:v>79</x:v>
      </x:c>
      <x:c r="O21" s="5">
        <x:v>59.8</x:v>
      </x:c>
      <x:c r="P21" s="2">
        <x:v>474</x:v>
      </x:c>
      <x:c r="Q21" s="2" t="n">
        <x:f>IF(OR(J21="positive",J21="negative"),1,0)</x:f>
        <x:v>1</x:v>
      </x:c>
    </x:row>
    <x:row r="22" ht="15">
      <x:c r="A22" s="2" t="s">
        <x:v>20</x:v>
      </x:c>
      <x:c r="B22" s="2" t="s">
        <x:v>89</x:v>
      </x:c>
      <x:c r="C22" s="2">
        <x:v>1</x:v>
      </x:c>
      <x:c r="D22" s="2" t="s">
        <x:v>295</x:v>
      </x:c>
      <x:c r="E22" s="2" t="s">
        <x:v>296</x:v>
      </x:c>
      <x:c r="F22" s="7">
        <x:v>0.61443999999999999</x:v>
      </x:c>
      <x:c r="G22" s="2" t="s">
        <x:v>297</x:v>
      </x:c>
      <x:c r="H22" s="8">
        <x:v>3.5</x:v>
      </x:c>
      <x:c r="I22" s="9" t="n">
        <x:f t="shared" si="0">IFERROR(ABS(F22)/H22,"")</x:f>
        <x:v>0.17555428571428572</x:v>
      </x:c>
      <x:c r="J22" s="2" t="s">
        <x:v>298</x:v>
      </x:c>
      <x:c r="K22" s="8">
        <x:v>0.90073999999999999</x:v>
      </x:c>
      <x:c r="L22" s="2" t="s">
        <x:v>299</x:v>
      </x:c>
      <x:c r="M22" s="2">
        <x:v>1</x:v>
      </x:c>
      <x:c r="N22" s="2" t="s">
        <x:v>79</x:v>
      </x:c>
      <x:c r="O22" s="5">
        <x:v>56.3</x:v>
      </x:c>
      <x:c r="P22" s="2">
        <x:v>543</x:v>
      </x:c>
      <x:c r="Q22" s="2" t="n">
        <x:f>IF(OR(J22="positive",J22="negative"),1,0)</x:f>
        <x:v>1</x:v>
      </x:c>
    </x:row>
    <x:row r="23" ht="15">
      <x:c r="A23" s="2" t="s">
        <x:v>20</x:v>
      </x:c>
      <x:c r="B23" s="2" t="s">
        <x:v>89</x:v>
      </x:c>
      <x:c r="C23" s="2">
        <x:v>1</x:v>
      </x:c>
      <x:c r="D23" s="2" t="s">
        <x:v>300</x:v>
      </x:c>
      <x:c r="E23" s="2" t="s">
        <x:v>301</x:v>
      </x:c>
      <x:c r="F23" s="7">
        <x:v>0.1144</x:v>
      </x:c>
      <x:c r="G23" s="2" t="s">
        <x:v>302</x:v>
      </x:c>
      <x:c r="H23" s="8">
        <x:v>0.45</x:v>
      </x:c>
      <x:c r="I23" s="9" t="n">
        <x:f t="shared" si="0">IFERROR(ABS(F23)/H23,"")</x:f>
        <x:v>0.25422222222222224</x:v>
      </x:c>
      <x:c r="J23" s="2" t="s">
        <x:v>298</x:v>
      </x:c>
      <x:c r="K23" s="8">
        <x:v>0.93149000000000004</x:v>
      </x:c>
      <x:c r="L23" s="2" t="s">
        <x:v>299</x:v>
      </x:c>
      <x:c r="M23" s="2">
        <x:v>1</x:v>
      </x:c>
      <x:c r="N23" s="2" t="s">
        <x:v>79</x:v>
      </x:c>
      <x:c r="O23" s="5">
        <x:v>56.3</x:v>
      </x:c>
      <x:c r="P23" s="2">
        <x:v>543</x:v>
      </x:c>
      <x:c r="Q23" s="2" t="n">
        <x:f>IF(OR(J23="positive",J23="negative"),1,0)</x:f>
        <x:v>1</x:v>
      </x:c>
    </x:row>
    <x:row r="24" ht="15">
      <x:c r="A24" s="2" t="s">
        <x:v>20</x:v>
      </x:c>
      <x:c r="B24" s="2" t="s">
        <x:v>89</x:v>
      </x:c>
      <x:c r="C24" s="2">
        <x:v>1</x:v>
      </x:c>
      <x:c r="D24" s="2" t="s">
        <x:v>18</x:v>
      </x:c>
      <x:c r="E24" s="2" t="s">
        <x:v>303</x:v>
      </x:c>
      <x:c r="F24" s="7">
        <x:v>9.0900000000000009E-3</x:v>
      </x:c>
      <x:c r="G24" s="2" t="s">
        <x:v>304</x:v>
      </x:c>
      <x:c r="H24" s="8">
        <x:v>7.4999999999999997E-2</x:v>
      </x:c>
      <x:c r="I24" s="9" t="n">
        <x:f t="shared" si="0">IFERROR(ABS(F24)/H24,"")</x:f>
        <x:v>0.12120000000000002</x:v>
      </x:c>
      <x:c r="J24" s="2" t="s">
        <x:v>298</x:v>
      </x:c>
      <x:c r="K24" s="8">
        <x:v>0.96372999999999998</x:v>
      </x:c>
      <x:c r="L24" s="2" t="s">
        <x:v>299</x:v>
      </x:c>
      <x:c r="M24" s="2">
        <x:v>1</x:v>
      </x:c>
      <x:c r="N24" s="2" t="s">
        <x:v>79</x:v>
      </x:c>
      <x:c r="O24" s="5">
        <x:v>56.3</x:v>
      </x:c>
      <x:c r="P24" s="2">
        <x:v>543</x:v>
      </x:c>
      <x:c r="Q24" s="2" t="n">
        <x:f>IF(OR(J24="positive",J24="negative"),1,0)</x:f>
        <x:v>1</x:v>
      </x:c>
    </x:row>
    <x:row r="25" ht="15">
      <x:c r="A25" s="2" t="s">
        <x:v>20</x:v>
      </x:c>
      <x:c r="B25" s="2" t="s">
        <x:v>89</x:v>
      </x:c>
      <x:c r="C25" s="2">
        <x:v>1</x:v>
      </x:c>
      <x:c r="D25" s="2" t="s">
        <x:v>305</x:v>
      </x:c>
      <x:c r="E25" s="2" t="s">
        <x:v>306</x:v>
      </x:c>
      <x:c r="F25" s="7">
        <x:v>3.8550000000000001E-2</x:v>
      </x:c>
      <x:c r="G25" s="2" t="s">
        <x:v>304</x:v>
      </x:c>
      <x:c r="H25" s="8">
        <x:v>0.3</x:v>
      </x:c>
      <x:c r="I25" s="9" t="n">
        <x:f t="shared" si="0">IFERROR(ABS(F25)/H25,"")</x:f>
        <x:v>0.1285</x:v>
      </x:c>
      <x:c r="J25" s="2" t="s">
        <x:v>298</x:v>
      </x:c>
      <x:c r="K25" s="8">
        <x:v>0.93149999999999999</x:v>
      </x:c>
      <x:c r="L25" s="2" t="s">
        <x:v>299</x:v>
      </x:c>
      <x:c r="M25" s="2">
        <x:v>1</x:v>
      </x:c>
      <x:c r="N25" s="2" t="s">
        <x:v>79</x:v>
      </x:c>
      <x:c r="O25" s="5">
        <x:v>56.3</x:v>
      </x:c>
      <x:c r="P25" s="2">
        <x:v>543</x:v>
      </x:c>
      <x:c r="Q25" s="2" t="n">
        <x:f>IF(OR(J25="positive",J25="negative"),1,0)</x:f>
        <x:v>1</x:v>
      </x:c>
    </x:row>
    <x:row r="26" ht="15">
      <x:c r="A26" s="2" t="s">
        <x:v>20</x:v>
      </x:c>
      <x:c r="B26" s="2" t="s">
        <x:v>90</x:v>
      </x:c>
      <x:c r="C26" s="2">
        <x:v>2</x:v>
      </x:c>
      <x:c r="D26" s="2" t="s">
        <x:v>295</x:v>
      </x:c>
      <x:c r="E26" s="2" t="s">
        <x:v>296</x:v>
      </x:c>
      <x:c r="F26" s="7">
        <x:v>0.58116000000000001</x:v>
      </x:c>
      <x:c r="G26" s="2" t="s">
        <x:v>297</x:v>
      </x:c>
      <x:c r="H26" s="8">
        <x:v>3.5</x:v>
      </x:c>
      <x:c r="I26" s="9" t="n">
        <x:f t="shared" si="0">IFERROR(ABS(F26)/H26,"")</x:f>
        <x:v>0.1660457142857143</x:v>
      </x:c>
      <x:c r="J26" s="2" t="s">
        <x:v>298</x:v>
      </x:c>
      <x:c r="K26" s="8">
        <x:v>0.93957999999999997</x:v>
      </x:c>
      <x:c r="L26" s="2" t="s">
        <x:v>299</x:v>
      </x:c>
      <x:c r="M26" s="2">
        <x:v>1</x:v>
      </x:c>
      <x:c r="N26" s="2" t="s">
        <x:v>79</x:v>
      </x:c>
      <x:c r="O26" s="5">
        <x:v>60.2</x:v>
      </x:c>
      <x:c r="P26" s="2">
        <x:v>435</x:v>
      </x:c>
      <x:c r="Q26" s="2" t="n">
        <x:f>IF(OR(J26="positive",J26="negative"),1,0)</x:f>
        <x:v>1</x:v>
      </x:c>
    </x:row>
    <x:row r="27" ht="15">
      <x:c r="A27" s="2" t="s">
        <x:v>20</x:v>
      </x:c>
      <x:c r="B27" s="2" t="s">
        <x:v>90</x:v>
      </x:c>
      <x:c r="C27" s="2">
        <x:v>2</x:v>
      </x:c>
      <x:c r="D27" s="2" t="s">
        <x:v>300</x:v>
      </x:c>
      <x:c r="E27" s="2" t="s">
        <x:v>301</x:v>
      </x:c>
      <x:c r="F27" s="7">
        <x:v>6.4350000000000004E-2</x:v>
      </x:c>
      <x:c r="G27" s="2" t="s">
        <x:v>302</x:v>
      </x:c>
      <x:c r="H27" s="8">
        <x:v>0.45</x:v>
      </x:c>
      <x:c r="I27" s="9" t="n">
        <x:f t="shared" si="0">IFERROR(ABS(F27)/H27,"")</x:f>
        <x:v>0.14300000000000002</x:v>
      </x:c>
      <x:c r="J27" s="2" t="s">
        <x:v>298</x:v>
      </x:c>
      <x:c r="K27" s="8">
        <x:v>0.95853999999999995</x:v>
      </x:c>
      <x:c r="L27" s="2" t="s">
        <x:v>299</x:v>
      </x:c>
      <x:c r="M27" s="2">
        <x:v>1</x:v>
      </x:c>
      <x:c r="N27" s="2" t="s">
        <x:v>79</x:v>
      </x:c>
      <x:c r="O27" s="5">
        <x:v>60.2</x:v>
      </x:c>
      <x:c r="P27" s="2">
        <x:v>435</x:v>
      </x:c>
      <x:c r="Q27" s="2" t="n">
        <x:f>IF(OR(J27="positive",J27="negative"),1,0)</x:f>
        <x:v>1</x:v>
      </x:c>
    </x:row>
    <x:row r="28" ht="15">
      <x:c r="A28" s="2" t="s">
        <x:v>20</x:v>
      </x:c>
      <x:c r="B28" s="2" t="s">
        <x:v>90</x:v>
      </x:c>
      <x:c r="C28" s="2">
        <x:v>2</x:v>
      </x:c>
      <x:c r="D28" s="2" t="s">
        <x:v>18</x:v>
      </x:c>
      <x:c r="E28" s="2" t="s">
        <x:v>303</x:v>
      </x:c>
      <x:c r="F28" s="7">
        <x:v>1.0070000000000001E-2</x:v>
      </x:c>
      <x:c r="G28" s="2" t="s">
        <x:v>304</x:v>
      </x:c>
      <x:c r="H28" s="8">
        <x:v>7.4999999999999997E-2</x:v>
      </x:c>
      <x:c r="I28" s="9" t="n">
        <x:f t="shared" si="0">IFERROR(ABS(F28)/H28,"")</x:f>
        <x:v>0.13426666666666667</x:v>
      </x:c>
      <x:c r="J28" s="2" t="s">
        <x:v>298</x:v>
      </x:c>
      <x:c r="K28" s="8">
        <x:v>0.94328000000000001</x:v>
      </x:c>
      <x:c r="L28" s="2" t="s">
        <x:v>299</x:v>
      </x:c>
      <x:c r="M28" s="2">
        <x:v>1</x:v>
      </x:c>
      <x:c r="N28" s="2" t="s">
        <x:v>79</x:v>
      </x:c>
      <x:c r="O28" s="5">
        <x:v>60.2</x:v>
      </x:c>
      <x:c r="P28" s="2">
        <x:v>435</x:v>
      </x:c>
      <x:c r="Q28" s="2" t="n">
        <x:f>IF(OR(J28="positive",J28="negative"),1,0)</x:f>
        <x:v>1</x:v>
      </x:c>
    </x:row>
    <x:row r="29" ht="15">
      <x:c r="A29" s="2" t="s">
        <x:v>20</x:v>
      </x:c>
      <x:c r="B29" s="2" t="s">
        <x:v>90</x:v>
      </x:c>
      <x:c r="C29" s="2">
        <x:v>2</x:v>
      </x:c>
      <x:c r="D29" s="2" t="s">
        <x:v>305</x:v>
      </x:c>
      <x:c r="E29" s="2" t="s">
        <x:v>306</x:v>
      </x:c>
      <x:c r="F29" s="7">
        <x:v>4.086E-2</x:v>
      </x:c>
      <x:c r="G29" s="2" t="s">
        <x:v>304</x:v>
      </x:c>
      <x:c r="H29" s="8">
        <x:v>0.3</x:v>
      </x:c>
      <x:c r="I29" s="9" t="n">
        <x:f t="shared" si="0">IFERROR(ABS(F29)/H29,"")</x:f>
        <x:v>0.13620000000000002</x:v>
      </x:c>
      <x:c r="J29" s="2" t="s">
        <x:v>298</x:v>
      </x:c>
      <x:c r="K29" s="8">
        <x:v>0.96335999999999999</x:v>
      </x:c>
      <x:c r="L29" s="2" t="s">
        <x:v>299</x:v>
      </x:c>
      <x:c r="M29" s="2">
        <x:v>1</x:v>
      </x:c>
      <x:c r="N29" s="2" t="s">
        <x:v>79</x:v>
      </x:c>
      <x:c r="O29" s="5">
        <x:v>60.2</x:v>
      </x:c>
      <x:c r="P29" s="2">
        <x:v>435</x:v>
      </x:c>
      <x:c r="Q29" s="2" t="n">
        <x:f>IF(OR(J29="positive",J29="negative"),1,0)</x:f>
        <x:v>1</x:v>
      </x:c>
    </x:row>
    <x:row r="30" ht="15">
      <x:c r="A30" s="2" t="s">
        <x:v>20</x:v>
      </x:c>
      <x:c r="B30" s="2" t="s">
        <x:v>91</x:v>
      </x:c>
      <x:c r="C30" s="2">
        <x:v>3</x:v>
      </x:c>
      <x:c r="D30" s="2" t="s">
        <x:v>295</x:v>
      </x:c>
      <x:c r="E30" s="2" t="s">
        <x:v>296</x:v>
      </x:c>
      <x:c r="F30" s="7">
        <x:v>0.38835999999999998</x:v>
      </x:c>
      <x:c r="G30" s="2" t="s">
        <x:v>297</x:v>
      </x:c>
      <x:c r="H30" s="8">
        <x:v>3.5</x:v>
      </x:c>
      <x:c r="I30" s="9" t="n">
        <x:f t="shared" si="0">IFERROR(ABS(F30)/H30,"")</x:f>
        <x:v>0.11095999999999999</x:v>
      </x:c>
      <x:c r="J30" s="2" t="s">
        <x:v>298</x:v>
      </x:c>
      <x:c r="K30" s="8">
        <x:v>0.94045999999999996</x:v>
      </x:c>
      <x:c r="L30" s="2" t="s">
        <x:v>299</x:v>
      </x:c>
      <x:c r="M30" s="2">
        <x:v>1</x:v>
      </x:c>
      <x:c r="N30" s="2" t="s">
        <x:v>79</x:v>
      </x:c>
      <x:c r="O30" s="5">
        <x:v>66.900000000000006</x:v>
      </x:c>
      <x:c r="P30" s="2">
        <x:v>435</x:v>
      </x:c>
      <x:c r="Q30" s="2" t="n">
        <x:f>IF(OR(J30="positive",J30="negative"),1,0)</x:f>
        <x:v>1</x:v>
      </x:c>
    </x:row>
    <x:row r="31" ht="15">
      <x:c r="A31" s="2" t="s">
        <x:v>20</x:v>
      </x:c>
      <x:c r="B31" s="2" t="s">
        <x:v>91</x:v>
      </x:c>
      <x:c r="C31" s="2">
        <x:v>3</x:v>
      </x:c>
      <x:c r="D31" s="2" t="s">
        <x:v>300</x:v>
      </x:c>
      <x:c r="E31" s="2" t="s">
        <x:v>301</x:v>
      </x:c>
      <x:c r="F31" s="7">
        <x:v>0.11082</x:v>
      </x:c>
      <x:c r="G31" s="2" t="s">
        <x:v>302</x:v>
      </x:c>
      <x:c r="H31" s="8">
        <x:v>0.45</x:v>
      </x:c>
      <x:c r="I31" s="9" t="n">
        <x:f t="shared" si="0">IFERROR(ABS(F31)/H31,"")</x:f>
        <x:v>0.24626666666666666</x:v>
      </x:c>
      <x:c r="J31" s="2" t="s">
        <x:v>298</x:v>
      </x:c>
      <x:c r="K31" s="8">
        <x:v>0.98509999999999998</x:v>
      </x:c>
      <x:c r="L31" s="2" t="s">
        <x:v>299</x:v>
      </x:c>
      <x:c r="M31" s="2">
        <x:v>1</x:v>
      </x:c>
      <x:c r="N31" s="2" t="s">
        <x:v>79</x:v>
      </x:c>
      <x:c r="O31" s="5">
        <x:v>66.900000000000006</x:v>
      </x:c>
      <x:c r="P31" s="2">
        <x:v>435</x:v>
      </x:c>
      <x:c r="Q31" s="2" t="n">
        <x:f>IF(OR(J31="positive",J31="negative"),1,0)</x:f>
        <x:v>1</x:v>
      </x:c>
    </x:row>
    <x:row r="32" ht="15">
      <x:c r="A32" s="2" t="s">
        <x:v>20</x:v>
      </x:c>
      <x:c r="B32" s="2" t="s">
        <x:v>91</x:v>
      </x:c>
      <x:c r="C32" s="2">
        <x:v>3</x:v>
      </x:c>
      <x:c r="D32" s="2" t="s">
        <x:v>18</x:v>
      </x:c>
      <x:c r="E32" s="2" t="s">
        <x:v>303</x:v>
      </x:c>
      <x:c r="F32" s="7">
        <x:v>-3.4000000000000002E-4</x:v>
      </x:c>
      <x:c r="G32" s="2" t="s">
        <x:v>304</x:v>
      </x:c>
      <x:c r="H32" s="8">
        <x:v>7.4999999999999997E-2</x:v>
      </x:c>
      <x:c r="I32" s="9" t="n">
        <x:f t="shared" si="0">IFERROR(ABS(F32)/H32,"")</x:f>
        <x:v>0.004533333333333334</x:v>
      </x:c>
      <x:c r="J32" s="2" t="s">
        <x:v>298</x:v>
      </x:c>
      <x:c r="K32" s="8">
        <x:v>0.92193999999999998</x:v>
      </x:c>
      <x:c r="L32" s="2" t="s">
        <x:v>299</x:v>
      </x:c>
      <x:c r="M32" s="2">
        <x:v>1</x:v>
      </x:c>
      <x:c r="N32" s="2" t="s">
        <x:v>79</x:v>
      </x:c>
      <x:c r="O32" s="5">
        <x:v>66.900000000000006</x:v>
      </x:c>
      <x:c r="P32" s="2">
        <x:v>435</x:v>
      </x:c>
      <x:c r="Q32" s="2" t="n">
        <x:f>IF(OR(J32="positive",J32="negative"),1,0)</x:f>
        <x:v>1</x:v>
      </x:c>
    </x:row>
    <x:row r="33" ht="15">
      <x:c r="A33" s="2" t="s">
        <x:v>20</x:v>
      </x:c>
      <x:c r="B33" s="2" t="s">
        <x:v>91</x:v>
      </x:c>
      <x:c r="C33" s="2">
        <x:v>3</x:v>
      </x:c>
      <x:c r="D33" s="2" t="s">
        <x:v>305</x:v>
      </x:c>
      <x:c r="E33" s="2" t="s">
        <x:v>306</x:v>
      </x:c>
      <x:c r="F33" s="7">
        <x:v>5.1700000000000003E-2</x:v>
      </x:c>
      <x:c r="G33" s="2" t="s">
        <x:v>304</x:v>
      </x:c>
      <x:c r="H33" s="8">
        <x:v>0.3</x:v>
      </x:c>
      <x:c r="I33" s="9" t="n">
        <x:f t="shared" si="0">IFERROR(ABS(F33)/H33,"")</x:f>
        <x:v>0.17233333333333334</x:v>
      </x:c>
      <x:c r="J33" s="2" t="s">
        <x:v>298</x:v>
      </x:c>
      <x:c r="K33" s="8">
        <x:v>0.93983000000000005</x:v>
      </x:c>
      <x:c r="L33" s="2" t="s">
        <x:v>299</x:v>
      </x:c>
      <x:c r="M33" s="2">
        <x:v>1</x:v>
      </x:c>
      <x:c r="N33" s="2" t="s">
        <x:v>79</x:v>
      </x:c>
      <x:c r="O33" s="5">
        <x:v>66.900000000000006</x:v>
      </x:c>
      <x:c r="P33" s="2">
        <x:v>435</x:v>
      </x:c>
      <x:c r="Q33" s="2" t="n">
        <x:f>IF(OR(J33="positive",J33="negative"),1,0)</x:f>
        <x:v>1</x:v>
      </x:c>
    </x:row>
    <x:row r="34" ht="15">
      <x:c r="A34" s="2" t="s">
        <x:v>20</x:v>
      </x:c>
      <x:c r="B34" s="2" t="s">
        <x:v>92</x:v>
      </x:c>
      <x:c r="C34" s="2">
        <x:v>4</x:v>
      </x:c>
      <x:c r="D34" s="2" t="s">
        <x:v>295</x:v>
      </x:c>
      <x:c r="E34" s="2" t="s">
        <x:v>296</x:v>
      </x:c>
      <x:c r="F34" s="7">
        <x:v>0.35045999999999999</x:v>
      </x:c>
      <x:c r="G34" s="2" t="s">
        <x:v>297</x:v>
      </x:c>
      <x:c r="H34" s="8">
        <x:v>3.5</x:v>
      </x:c>
      <x:c r="I34" s="9" t="n">
        <x:f t="shared" si="0">IFERROR(ABS(F34)/H34,"")</x:f>
        <x:v>0.10013142857142857</x:v>
      </x:c>
      <x:c r="J34" s="2" t="s">
        <x:v>298</x:v>
      </x:c>
      <x:c r="K34" s="8">
        <x:v>0.93622000000000005</x:v>
      </x:c>
      <x:c r="L34" s="2" t="s">
        <x:v>299</x:v>
      </x:c>
      <x:c r="M34" s="2">
        <x:v>1</x:v>
      </x:c>
      <x:c r="N34" s="2" t="s">
        <x:v>79</x:v>
      </x:c>
      <x:c r="O34" s="5">
        <x:v>58.7</x:v>
      </x:c>
      <x:c r="P34" s="2">
        <x:v>445</x:v>
      </x:c>
      <x:c r="Q34" s="2" t="n">
        <x:f>IF(OR(J34="positive",J34="negative"),1,0)</x:f>
        <x:v>1</x:v>
      </x:c>
    </x:row>
    <x:row r="35" ht="15">
      <x:c r="A35" s="2" t="s">
        <x:v>20</x:v>
      </x:c>
      <x:c r="B35" s="2" t="s">
        <x:v>92</x:v>
      </x:c>
      <x:c r="C35" s="2">
        <x:v>4</x:v>
      </x:c>
      <x:c r="D35" s="2" t="s">
        <x:v>300</x:v>
      </x:c>
      <x:c r="E35" s="2" t="s">
        <x:v>301</x:v>
      </x:c>
      <x:c r="F35" s="7">
        <x:v>9.8390000000000005E-2</x:v>
      </x:c>
      <x:c r="G35" s="2" t="s">
        <x:v>302</x:v>
      </x:c>
      <x:c r="H35" s="8">
        <x:v>0.45</x:v>
      </x:c>
      <x:c r="I35" s="9" t="n">
        <x:f t="shared" si="0">IFERROR(ABS(F35)/H35,"")</x:f>
        <x:v>0.21864444444444445</x:v>
      </x:c>
      <x:c r="J35" s="2" t="s">
        <x:v>298</x:v>
      </x:c>
      <x:c r="K35" s="8">
        <x:v>0.94377999999999995</x:v>
      </x:c>
      <x:c r="L35" s="2" t="s">
        <x:v>299</x:v>
      </x:c>
      <x:c r="M35" s="2">
        <x:v>1</x:v>
      </x:c>
      <x:c r="N35" s="2" t="s">
        <x:v>79</x:v>
      </x:c>
      <x:c r="O35" s="5">
        <x:v>58.7</x:v>
      </x:c>
      <x:c r="P35" s="2">
        <x:v>445</x:v>
      </x:c>
      <x:c r="Q35" s="2" t="n">
        <x:f>IF(OR(J35="positive",J35="negative"),1,0)</x:f>
        <x:v>1</x:v>
      </x:c>
    </x:row>
    <x:row r="36" ht="15">
      <x:c r="A36" s="2" t="s">
        <x:v>20</x:v>
      </x:c>
      <x:c r="B36" s="2" t="s">
        <x:v>92</x:v>
      </x:c>
      <x:c r="C36" s="2">
        <x:v>4</x:v>
      </x:c>
      <x:c r="D36" s="2" t="s">
        <x:v>18</x:v>
      </x:c>
      <x:c r="E36" s="2" t="s">
        <x:v>303</x:v>
      </x:c>
      <x:c r="F36" s="7">
        <x:v>1.093E-2</x:v>
      </x:c>
      <x:c r="G36" s="2" t="s">
        <x:v>304</x:v>
      </x:c>
      <x:c r="H36" s="8">
        <x:v>7.4999999999999997E-2</x:v>
      </x:c>
      <x:c r="I36" s="9" t="n">
        <x:f t="shared" si="0">IFERROR(ABS(F36)/H36,"")</x:f>
        <x:v>0.14573333333333335</x:v>
      </x:c>
      <x:c r="J36" s="2" t="s">
        <x:v>298</x:v>
      </x:c>
      <x:c r="K36" s="8">
        <x:v>0.93584999999999996</x:v>
      </x:c>
      <x:c r="L36" s="2" t="s">
        <x:v>299</x:v>
      </x:c>
      <x:c r="M36" s="2">
        <x:v>1</x:v>
      </x:c>
      <x:c r="N36" s="2" t="s">
        <x:v>79</x:v>
      </x:c>
      <x:c r="O36" s="5">
        <x:v>58.7</x:v>
      </x:c>
      <x:c r="P36" s="2">
        <x:v>445</x:v>
      </x:c>
      <x:c r="Q36" s="2" t="n">
        <x:f>IF(OR(J36="positive",J36="negative"),1,0)</x:f>
        <x:v>1</x:v>
      </x:c>
    </x:row>
    <x:row r="37" ht="15">
      <x:c r="A37" s="2" t="s">
        <x:v>20</x:v>
      </x:c>
      <x:c r="B37" s="2" t="s">
        <x:v>92</x:v>
      </x:c>
      <x:c r="C37" s="2">
        <x:v>4</x:v>
      </x:c>
      <x:c r="D37" s="2" t="s">
        <x:v>305</x:v>
      </x:c>
      <x:c r="E37" s="2" t="s">
        <x:v>306</x:v>
      </x:c>
      <x:c r="F37" s="7">
        <x:v>3.6799999999999999E-2</x:v>
      </x:c>
      <x:c r="G37" s="2" t="s">
        <x:v>304</x:v>
      </x:c>
      <x:c r="H37" s="8">
        <x:v>0.3</x:v>
      </x:c>
      <x:c r="I37" s="9" t="n">
        <x:f t="shared" si="0">IFERROR(ABS(F37)/H37,"")</x:f>
        <x:v>0.12266666666666667</x:v>
      </x:c>
      <x:c r="J37" s="2" t="s">
        <x:v>298</x:v>
      </x:c>
      <x:c r="K37" s="8">
        <x:v>0.85685</x:v>
      </x:c>
      <x:c r="L37" s="2" t="s">
        <x:v>299</x:v>
      </x:c>
      <x:c r="M37" s="2">
        <x:v>1</x:v>
      </x:c>
      <x:c r="N37" s="2" t="s">
        <x:v>79</x:v>
      </x:c>
      <x:c r="O37" s="5">
        <x:v>58.7</x:v>
      </x:c>
      <x:c r="P37" s="2">
        <x:v>445</x:v>
      </x:c>
      <x:c r="Q37" s="2" t="n">
        <x:f>IF(OR(J37="positive",J37="negative"),1,0)</x:f>
        <x:v>1</x:v>
      </x:c>
    </x:row>
    <x:row r="38" ht="15">
      <x:c r="A38" s="2" t="s">
        <x:v>20</x:v>
      </x:c>
      <x:c r="B38" s="2" t="s">
        <x:v>93</x:v>
      </x:c>
      <x:c r="C38" s="2">
        <x:v>5</x:v>
      </x:c>
      <x:c r="D38" s="2" t="s">
        <x:v>295</x:v>
      </x:c>
      <x:c r="E38" s="2" t="s">
        <x:v>296</x:v>
      </x:c>
      <x:c r="F38" s="7">
        <x:v>0.28378999999999999</x:v>
      </x:c>
      <x:c r="G38" s="2" t="s">
        <x:v>297</x:v>
      </x:c>
      <x:c r="H38" s="8">
        <x:v>3.5</x:v>
      </x:c>
      <x:c r="I38" s="9" t="n">
        <x:f t="shared" si="0">IFERROR(ABS(F38)/H38,"")</x:f>
        <x:v>0.08108285714285714</x:v>
      </x:c>
      <x:c r="J38" s="2" t="s">
        <x:v>298</x:v>
      </x:c>
      <x:c r="K38" s="8">
        <x:v>0.94796999999999998</x:v>
      </x:c>
      <x:c r="L38" s="2" t="s">
        <x:v>299</x:v>
      </x:c>
      <x:c r="M38" s="2">
        <x:v>1</x:v>
      </x:c>
      <x:c r="N38" s="2" t="s">
        <x:v>79</x:v>
      </x:c>
      <x:c r="O38" s="5">
        <x:v>57.9</x:v>
      </x:c>
      <x:c r="P38" s="2">
        <x:v>551</x:v>
      </x:c>
      <x:c r="Q38" s="2" t="n">
        <x:f>IF(OR(J38="positive",J38="negative"),1,0)</x:f>
        <x:v>1</x:v>
      </x:c>
    </x:row>
    <x:row r="39" ht="15">
      <x:c r="A39" s="2" t="s">
        <x:v>20</x:v>
      </x:c>
      <x:c r="B39" s="2" t="s">
        <x:v>93</x:v>
      </x:c>
      <x:c r="C39" s="2">
        <x:v>5</x:v>
      </x:c>
      <x:c r="D39" s="2" t="s">
        <x:v>300</x:v>
      </x:c>
      <x:c r="E39" s="2" t="s">
        <x:v>301</x:v>
      </x:c>
      <x:c r="F39" s="7">
        <x:v>7.5609999999999997E-2</x:v>
      </x:c>
      <x:c r="G39" s="2" t="s">
        <x:v>302</x:v>
      </x:c>
      <x:c r="H39" s="8">
        <x:v>0.45</x:v>
      </x:c>
      <x:c r="I39" s="9" t="n">
        <x:f t="shared" si="0">IFERROR(ABS(F39)/H39,"")</x:f>
        <x:v>0.1680222222222222</x:v>
      </x:c>
      <x:c r="J39" s="2" t="s">
        <x:v>298</x:v>
      </x:c>
      <x:c r="K39" s="8">
        <x:v>0.97629999999999995</x:v>
      </x:c>
      <x:c r="L39" s="2" t="s">
        <x:v>299</x:v>
      </x:c>
      <x:c r="M39" s="2">
        <x:v>1</x:v>
      </x:c>
      <x:c r="N39" s="2" t="s">
        <x:v>79</x:v>
      </x:c>
      <x:c r="O39" s="5">
        <x:v>57.9</x:v>
      </x:c>
      <x:c r="P39" s="2">
        <x:v>551</x:v>
      </x:c>
      <x:c r="Q39" s="2" t="n">
        <x:f>IF(OR(J39="positive",J39="negative"),1,0)</x:f>
        <x:v>1</x:v>
      </x:c>
    </x:row>
    <x:row r="40" ht="15">
      <x:c r="A40" s="2" t="s">
        <x:v>20</x:v>
      </x:c>
      <x:c r="B40" s="2" t="s">
        <x:v>93</x:v>
      </x:c>
      <x:c r="C40" s="2">
        <x:v>5</x:v>
      </x:c>
      <x:c r="D40" s="2" t="s">
        <x:v>18</x:v>
      </x:c>
      <x:c r="E40" s="2" t="s">
        <x:v>303</x:v>
      </x:c>
      <x:c r="F40" s="7">
        <x:v>3.6000000000000002E-4</x:v>
      </x:c>
      <x:c r="G40" s="2" t="s">
        <x:v>304</x:v>
      </x:c>
      <x:c r="H40" s="8">
        <x:v>7.4999999999999997E-2</x:v>
      </x:c>
      <x:c r="I40" s="9" t="n">
        <x:f t="shared" si="0">IFERROR(ABS(F40)/H40,"")</x:f>
        <x:v>0.0048000000000000004</x:v>
      </x:c>
      <x:c r="J40" s="2" t="s">
        <x:v>298</x:v>
      </x:c>
      <x:c r="K40" s="8">
        <x:v>0.92379999999999995</x:v>
      </x:c>
      <x:c r="L40" s="2" t="s">
        <x:v>299</x:v>
      </x:c>
      <x:c r="M40" s="2">
        <x:v>1</x:v>
      </x:c>
      <x:c r="N40" s="2" t="s">
        <x:v>79</x:v>
      </x:c>
      <x:c r="O40" s="5">
        <x:v>57.9</x:v>
      </x:c>
      <x:c r="P40" s="2">
        <x:v>551</x:v>
      </x:c>
      <x:c r="Q40" s="2" t="n">
        <x:f>IF(OR(J40="positive",J40="negative"),1,0)</x:f>
        <x:v>1</x:v>
      </x:c>
    </x:row>
    <x:row r="41" ht="15">
      <x:c r="A41" s="2" t="s">
        <x:v>20</x:v>
      </x:c>
      <x:c r="B41" s="2" t="s">
        <x:v>93</x:v>
      </x:c>
      <x:c r="C41" s="2">
        <x:v>5</x:v>
      </x:c>
      <x:c r="D41" s="2" t="s">
        <x:v>305</x:v>
      </x:c>
      <x:c r="E41" s="2" t="s">
        <x:v>306</x:v>
      </x:c>
      <x:c r="F41" s="7">
        <x:v>2.511E-2</x:v>
      </x:c>
      <x:c r="G41" s="2" t="s">
        <x:v>304</x:v>
      </x:c>
      <x:c r="H41" s="8">
        <x:v>0.3</x:v>
      </x:c>
      <x:c r="I41" s="9" t="n">
        <x:f t="shared" si="0">IFERROR(ABS(F41)/H41,"")</x:f>
        <x:v>0.08370000000000001</x:v>
      </x:c>
      <x:c r="J41" s="2" t="s">
        <x:v>298</x:v>
      </x:c>
      <x:c r="K41" s="8">
        <x:v>0.94452999999999998</x:v>
      </x:c>
      <x:c r="L41" s="2" t="s">
        <x:v>299</x:v>
      </x:c>
      <x:c r="M41" s="2">
        <x:v>1</x:v>
      </x:c>
      <x:c r="N41" s="2" t="s">
        <x:v>79</x:v>
      </x:c>
      <x:c r="O41" s="5">
        <x:v>57.9</x:v>
      </x:c>
      <x:c r="P41" s="2">
        <x:v>551</x:v>
      </x:c>
      <x:c r="Q41" s="2" t="n">
        <x:f>IF(OR(J41="positive",J41="negative"),1,0)</x:f>
        <x:v>1</x:v>
      </x:c>
    </x:row>
    <x:row r="42" ht="15">
      <x:c r="A42" s="2" t="s">
        <x:v>23</x:v>
      </x:c>
      <x:c r="B42" s="2" t="s">
        <x:v>94</x:v>
      </x:c>
      <x:c r="C42" s="2">
        <x:v>1</x:v>
      </x:c>
      <x:c r="D42" s="2" t="s">
        <x:v>295</x:v>
      </x:c>
      <x:c r="E42" s="2" t="s">
        <x:v>296</x:v>
      </x:c>
      <x:c r="F42" s="7">
        <x:v>0.35782999999999998</x:v>
      </x:c>
      <x:c r="G42" s="2" t="s">
        <x:v>297</x:v>
      </x:c>
      <x:c r="H42" s="8">
        <x:v>3.5</x:v>
      </x:c>
      <x:c r="I42" s="9" t="n">
        <x:f t="shared" si="0">IFERROR(ABS(F42)/H42,"")</x:f>
        <x:v>0.10223714285714285</x:v>
      </x:c>
      <x:c r="J42" s="2" t="s">
        <x:v>298</x:v>
      </x:c>
      <x:c r="K42" s="8">
        <x:v>0.91907000000000005</x:v>
      </x:c>
      <x:c r="L42" s="2" t="s">
        <x:v>299</x:v>
      </x:c>
      <x:c r="M42" s="2">
        <x:v>1</x:v>
      </x:c>
      <x:c r="N42" s="2" t="s">
        <x:v>79</x:v>
      </x:c>
      <x:c r="O42" s="5">
        <x:v>54</x:v>
      </x:c>
      <x:c r="P42" s="2">
        <x:v>411</x:v>
      </x:c>
      <x:c r="Q42" s="2" t="n">
        <x:f>IF(OR(J42="positive",J42="negative"),1,0)</x:f>
        <x:v>1</x:v>
      </x:c>
    </x:row>
    <x:row r="43" ht="15">
      <x:c r="A43" s="2" t="s">
        <x:v>23</x:v>
      </x:c>
      <x:c r="B43" s="2" t="s">
        <x:v>94</x:v>
      </x:c>
      <x:c r="C43" s="2">
        <x:v>1</x:v>
      </x:c>
      <x:c r="D43" s="2" t="s">
        <x:v>300</x:v>
      </x:c>
      <x:c r="E43" s="2" t="s">
        <x:v>301</x:v>
      </x:c>
      <x:c r="F43" s="7">
        <x:v>9.0709999999999999E-2</x:v>
      </x:c>
      <x:c r="G43" s="2" t="s">
        <x:v>302</x:v>
      </x:c>
      <x:c r="H43" s="8">
        <x:v>0.45</x:v>
      </x:c>
      <x:c r="I43" s="9" t="n">
        <x:f t="shared" si="0">IFERROR(ABS(F43)/H43,"")</x:f>
        <x:v>0.20157777777777777</x:v>
      </x:c>
      <x:c r="J43" s="2" t="s">
        <x:v>298</x:v>
      </x:c>
      <x:c r="K43" s="8">
        <x:v>0.94871000000000005</x:v>
      </x:c>
      <x:c r="L43" s="2" t="s">
        <x:v>299</x:v>
      </x:c>
      <x:c r="M43" s="2">
        <x:v>1</x:v>
      </x:c>
      <x:c r="N43" s="2" t="s">
        <x:v>79</x:v>
      </x:c>
      <x:c r="O43" s="5">
        <x:v>54</x:v>
      </x:c>
      <x:c r="P43" s="2">
        <x:v>411</x:v>
      </x:c>
      <x:c r="Q43" s="2" t="n">
        <x:f>IF(OR(J43="positive",J43="negative"),1,0)</x:f>
        <x:v>1</x:v>
      </x:c>
    </x:row>
    <x:row r="44" ht="15">
      <x:c r="A44" s="2" t="s">
        <x:v>23</x:v>
      </x:c>
      <x:c r="B44" s="2" t="s">
        <x:v>94</x:v>
      </x:c>
      <x:c r="C44" s="2">
        <x:v>1</x:v>
      </x:c>
      <x:c r="D44" s="2" t="s">
        <x:v>18</x:v>
      </x:c>
      <x:c r="E44" s="2" t="s">
        <x:v>303</x:v>
      </x:c>
      <x:c r="F44" s="7">
        <x:v>-1.3600000000000001E-3</x:v>
      </x:c>
      <x:c r="G44" s="2" t="s">
        <x:v>304</x:v>
      </x:c>
      <x:c r="H44" s="8">
        <x:v>7.4999999999999997E-2</x:v>
      </x:c>
      <x:c r="I44" s="9" t="n">
        <x:f t="shared" si="0">IFERROR(ABS(F44)/H44,"")</x:f>
        <x:v>0.018133333333333335</x:v>
      </x:c>
      <x:c r="J44" s="2" t="s">
        <x:v>298</x:v>
      </x:c>
      <x:c r="K44" s="8">
        <x:v>0.92230999999999996</x:v>
      </x:c>
      <x:c r="L44" s="2" t="s">
        <x:v>299</x:v>
      </x:c>
      <x:c r="M44" s="2">
        <x:v>1</x:v>
      </x:c>
      <x:c r="N44" s="2" t="s">
        <x:v>79</x:v>
      </x:c>
      <x:c r="O44" s="5">
        <x:v>54</x:v>
      </x:c>
      <x:c r="P44" s="2">
        <x:v>411</x:v>
      </x:c>
      <x:c r="Q44" s="2" t="n">
        <x:f>IF(OR(J44="positive",J44="negative"),1,0)</x:f>
        <x:v>1</x:v>
      </x:c>
    </x:row>
    <x:row r="45" ht="15">
      <x:c r="A45" s="2" t="s">
        <x:v>23</x:v>
      </x:c>
      <x:c r="B45" s="2" t="s">
        <x:v>94</x:v>
      </x:c>
      <x:c r="C45" s="2">
        <x:v>1</x:v>
      </x:c>
      <x:c r="D45" s="2" t="s">
        <x:v>305</x:v>
      </x:c>
      <x:c r="E45" s="2" t="s">
        <x:v>306</x:v>
      </x:c>
      <x:c r="F45" s="7">
        <x:v>9.4599999999999997E-3</x:v>
      </x:c>
      <x:c r="G45" s="2" t="s">
        <x:v>304</x:v>
      </x:c>
      <x:c r="H45" s="8">
        <x:v>0.3</x:v>
      </x:c>
      <x:c r="I45" s="9" t="n">
        <x:f t="shared" si="0">IFERROR(ABS(F45)/H45,"")</x:f>
        <x:v>0.03153333333333334</x:v>
      </x:c>
      <x:c r="J45" s="2" t="s">
        <x:v>298</x:v>
      </x:c>
      <x:c r="K45" s="8">
        <x:v>0.94825999999999999</x:v>
      </x:c>
      <x:c r="L45" s="2" t="s">
        <x:v>299</x:v>
      </x:c>
      <x:c r="M45" s="2">
        <x:v>1</x:v>
      </x:c>
      <x:c r="N45" s="2" t="s">
        <x:v>79</x:v>
      </x:c>
      <x:c r="O45" s="5">
        <x:v>54</x:v>
      </x:c>
      <x:c r="P45" s="2">
        <x:v>411</x:v>
      </x:c>
      <x:c r="Q45" s="2" t="n">
        <x:f>IF(OR(J45="positive",J45="negative"),1,0)</x:f>
        <x:v>1</x:v>
      </x:c>
    </x:row>
    <x:row r="46" ht="15">
      <x:c r="A46" s="2" t="s">
        <x:v>23</x:v>
      </x:c>
      <x:c r="B46" s="2" t="s">
        <x:v>95</x:v>
      </x:c>
      <x:c r="C46" s="2">
        <x:v>2</x:v>
      </x:c>
      <x:c r="D46" s="2" t="s">
        <x:v>295</x:v>
      </x:c>
      <x:c r="E46" s="2" t="s">
        <x:v>296</x:v>
      </x:c>
      <x:c r="F46" s="7">
        <x:v>0.36851</x:v>
      </x:c>
      <x:c r="G46" s="2" t="s">
        <x:v>297</x:v>
      </x:c>
      <x:c r="H46" s="8">
        <x:v>3.5</x:v>
      </x:c>
      <x:c r="I46" s="9" t="n">
        <x:f t="shared" si="0">IFERROR(ABS(F46)/H46,"")</x:f>
        <x:v>0.10528857142857143</x:v>
      </x:c>
      <x:c r="J46" s="2" t="s">
        <x:v>298</x:v>
      </x:c>
      <x:c r="K46" s="8">
        <x:v>0.96153999999999995</x:v>
      </x:c>
      <x:c r="L46" s="2" t="s">
        <x:v>299</x:v>
      </x:c>
      <x:c r="M46" s="2">
        <x:v>1</x:v>
      </x:c>
      <x:c r="N46" s="2" t="s">
        <x:v>79</x:v>
      </x:c>
      <x:c r="O46" s="5">
        <x:v>62.4</x:v>
      </x:c>
      <x:c r="P46" s="2">
        <x:v>248</x:v>
      </x:c>
      <x:c r="Q46" s="2" t="n">
        <x:f>IF(OR(J46="positive",J46="negative"),1,0)</x:f>
        <x:v>1</x:v>
      </x:c>
    </x:row>
    <x:row r="47" ht="15">
      <x:c r="A47" s="2" t="s">
        <x:v>23</x:v>
      </x:c>
      <x:c r="B47" s="2" t="s">
        <x:v>95</x:v>
      </x:c>
      <x:c r="C47" s="2">
        <x:v>2</x:v>
      </x:c>
      <x:c r="D47" s="2" t="s">
        <x:v>300</x:v>
      </x:c>
      <x:c r="E47" s="2" t="s">
        <x:v>301</x:v>
      </x:c>
      <x:c r="F47" s="7">
        <x:v>0.11742</x:v>
      </x:c>
      <x:c r="G47" s="2" t="s">
        <x:v>302</x:v>
      </x:c>
      <x:c r="H47" s="8">
        <x:v>0.45</x:v>
      </x:c>
      <x:c r="I47" s="9" t="n">
        <x:f t="shared" si="0">IFERROR(ABS(F47)/H47,"")</x:f>
        <x:v>0.2609333333333333</x:v>
      </x:c>
      <x:c r="J47" s="2" t="s">
        <x:v>298</x:v>
      </x:c>
      <x:c r="K47" s="8">
        <x:v>0.92895000000000005</x:v>
      </x:c>
      <x:c r="L47" s="2" t="s">
        <x:v>299</x:v>
      </x:c>
      <x:c r="M47" s="2">
        <x:v>1</x:v>
      </x:c>
      <x:c r="N47" s="2" t="s">
        <x:v>79</x:v>
      </x:c>
      <x:c r="O47" s="5">
        <x:v>62.4</x:v>
      </x:c>
      <x:c r="P47" s="2">
        <x:v>248</x:v>
      </x:c>
      <x:c r="Q47" s="2" t="n">
        <x:f>IF(OR(J47="positive",J47="negative"),1,0)</x:f>
        <x:v>1</x:v>
      </x:c>
    </x:row>
    <x:row r="48" ht="15">
      <x:c r="A48" s="2" t="s">
        <x:v>23</x:v>
      </x:c>
      <x:c r="B48" s="2" t="s">
        <x:v>95</x:v>
      </x:c>
      <x:c r="C48" s="2">
        <x:v>2</x:v>
      </x:c>
      <x:c r="D48" s="2" t="s">
        <x:v>18</x:v>
      </x:c>
      <x:c r="E48" s="2" t="s">
        <x:v>303</x:v>
      </x:c>
      <x:c r="F48" s="7">
        <x:v>-9.6200000000000001E-3</x:v>
      </x:c>
      <x:c r="G48" s="2" t="s">
        <x:v>304</x:v>
      </x:c>
      <x:c r="H48" s="8">
        <x:v>7.4999999999999997E-2</x:v>
      </x:c>
      <x:c r="I48" s="9" t="n">
        <x:f t="shared" si="0">IFERROR(ABS(F48)/H48,"")</x:f>
        <x:v>0.12826666666666667</x:v>
      </x:c>
      <x:c r="J48" s="2" t="s">
        <x:v>298</x:v>
      </x:c>
      <x:c r="K48" s="8">
        <x:v>0.96372000000000002</x:v>
      </x:c>
      <x:c r="L48" s="2" t="s">
        <x:v>299</x:v>
      </x:c>
      <x:c r="M48" s="2">
        <x:v>1</x:v>
      </x:c>
      <x:c r="N48" s="2" t="s">
        <x:v>79</x:v>
      </x:c>
      <x:c r="O48" s="5">
        <x:v>62.4</x:v>
      </x:c>
      <x:c r="P48" s="2">
        <x:v>248</x:v>
      </x:c>
      <x:c r="Q48" s="2" t="n">
        <x:f>IF(OR(J48="positive",J48="negative"),1,0)</x:f>
        <x:v>1</x:v>
      </x:c>
    </x:row>
    <x:row r="49" ht="15">
      <x:c r="A49" s="2" t="s">
        <x:v>23</x:v>
      </x:c>
      <x:c r="B49" s="2" t="s">
        <x:v>95</x:v>
      </x:c>
      <x:c r="C49" s="2">
        <x:v>2</x:v>
      </x:c>
      <x:c r="D49" s="2" t="s">
        <x:v>305</x:v>
      </x:c>
      <x:c r="E49" s="2" t="s">
        <x:v>306</x:v>
      </x:c>
      <x:c r="F49" s="7">
        <x:v>1.355E-2</x:v>
      </x:c>
      <x:c r="G49" s="2" t="s">
        <x:v>304</x:v>
      </x:c>
      <x:c r="H49" s="8">
        <x:v>0.3</x:v>
      </x:c>
      <x:c r="I49" s="9" t="n">
        <x:f t="shared" si="0">IFERROR(ABS(F49)/H49,"")</x:f>
        <x:v>0.04516666666666667</x:v>
      </x:c>
      <x:c r="J49" s="2" t="s">
        <x:v>298</x:v>
      </x:c>
      <x:c r="K49" s="8">
        <x:v>0.89731000000000005</x:v>
      </x:c>
      <x:c r="L49" s="2" t="s">
        <x:v>299</x:v>
      </x:c>
      <x:c r="M49" s="2">
        <x:v>1</x:v>
      </x:c>
      <x:c r="N49" s="2" t="s">
        <x:v>79</x:v>
      </x:c>
      <x:c r="O49" s="5">
        <x:v>62.4</x:v>
      </x:c>
      <x:c r="P49" s="2">
        <x:v>248</x:v>
      </x:c>
      <x:c r="Q49" s="2" t="n">
        <x:f>IF(OR(J49="positive",J49="negative"),1,0)</x:f>
        <x:v>1</x:v>
      </x:c>
    </x:row>
    <x:row r="50" ht="15">
      <x:c r="A50" s="2" t="s">
        <x:v>23</x:v>
      </x:c>
      <x:c r="B50" s="2" t="s">
        <x:v>96</x:v>
      </x:c>
      <x:c r="C50" s="2">
        <x:v>3</x:v>
      </x:c>
      <x:c r="D50" s="2" t="s">
        <x:v>295</x:v>
      </x:c>
      <x:c r="E50" s="2" t="s">
        <x:v>296</x:v>
      </x:c>
      <x:c r="F50" s="7">
        <x:v>0.34131</x:v>
      </x:c>
      <x:c r="G50" s="2" t="s">
        <x:v>297</x:v>
      </x:c>
      <x:c r="H50" s="8">
        <x:v>3.5</x:v>
      </x:c>
      <x:c r="I50" s="9" t="n">
        <x:f t="shared" si="0">IFERROR(ABS(F50)/H50,"")</x:f>
        <x:v>0.09751714285714286</x:v>
      </x:c>
      <x:c r="J50" s="2" t="s">
        <x:v>298</x:v>
      </x:c>
      <x:c r="K50" s="8">
        <x:v>0.92503000000000002</x:v>
      </x:c>
      <x:c r="L50" s="2" t="s">
        <x:v>299</x:v>
      </x:c>
      <x:c r="M50" s="2">
        <x:v>1</x:v>
      </x:c>
      <x:c r="N50" s="2" t="s">
        <x:v>79</x:v>
      </x:c>
      <x:c r="O50" s="5">
        <x:v>58.2</x:v>
      </x:c>
      <x:c r="P50" s="2">
        <x:v>470</x:v>
      </x:c>
      <x:c r="Q50" s="2" t="n">
        <x:f>IF(OR(J50="positive",J50="negative"),1,0)</x:f>
        <x:v>1</x:v>
      </x:c>
    </x:row>
    <x:row r="51" ht="15">
      <x:c r="A51" s="2" t="s">
        <x:v>23</x:v>
      </x:c>
      <x:c r="B51" s="2" t="s">
        <x:v>96</x:v>
      </x:c>
      <x:c r="C51" s="2">
        <x:v>3</x:v>
      </x:c>
      <x:c r="D51" s="2" t="s">
        <x:v>300</x:v>
      </x:c>
      <x:c r="E51" s="2" t="s">
        <x:v>301</x:v>
      </x:c>
      <x:c r="F51" s="7">
        <x:v>6.5989999999999993E-2</x:v>
      </x:c>
      <x:c r="G51" s="2" t="s">
        <x:v>302</x:v>
      </x:c>
      <x:c r="H51" s="8">
        <x:v>0.45</x:v>
      </x:c>
      <x:c r="I51" s="9" t="n">
        <x:f t="shared" si="0">IFERROR(ABS(F51)/H51,"")</x:f>
        <x:v>0.14664444444444444</x:v>
      </x:c>
      <x:c r="J51" s="2" t="s">
        <x:v>298</x:v>
      </x:c>
      <x:c r="K51" s="8">
        <x:v>0.93942000000000003</x:v>
      </x:c>
      <x:c r="L51" s="2" t="s">
        <x:v>299</x:v>
      </x:c>
      <x:c r="M51" s="2">
        <x:v>1</x:v>
      </x:c>
      <x:c r="N51" s="2" t="s">
        <x:v>79</x:v>
      </x:c>
      <x:c r="O51" s="5">
        <x:v>58.2</x:v>
      </x:c>
      <x:c r="P51" s="2">
        <x:v>470</x:v>
      </x:c>
      <x:c r="Q51" s="2" t="n">
        <x:f>IF(OR(J51="positive",J51="negative"),1,0)</x:f>
        <x:v>1</x:v>
      </x:c>
    </x:row>
    <x:row r="52" ht="15">
      <x:c r="A52" s="2" t="s">
        <x:v>23</x:v>
      </x:c>
      <x:c r="B52" s="2" t="s">
        <x:v>96</x:v>
      </x:c>
      <x:c r="C52" s="2">
        <x:v>3</x:v>
      </x:c>
      <x:c r="D52" s="2" t="s">
        <x:v>18</x:v>
      </x:c>
      <x:c r="E52" s="2" t="s">
        <x:v>303</x:v>
      </x:c>
      <x:c r="F52" s="7">
        <x:v>9.1199999999999996E-3</x:v>
      </x:c>
      <x:c r="G52" s="2" t="s">
        <x:v>304</x:v>
      </x:c>
      <x:c r="H52" s="8">
        <x:v>7.4999999999999997E-2</x:v>
      </x:c>
      <x:c r="I52" s="9" t="n">
        <x:f t="shared" si="0">IFERROR(ABS(F52)/H52,"")</x:f>
        <x:v>0.1216</x:v>
      </x:c>
      <x:c r="J52" s="2" t="s">
        <x:v>298</x:v>
      </x:c>
      <x:c r="K52" s="8">
        <x:v>0.91764999999999997</x:v>
      </x:c>
      <x:c r="L52" s="2" t="s">
        <x:v>299</x:v>
      </x:c>
      <x:c r="M52" s="2">
        <x:v>1</x:v>
      </x:c>
      <x:c r="N52" s="2" t="s">
        <x:v>79</x:v>
      </x:c>
      <x:c r="O52" s="5">
        <x:v>58.2</x:v>
      </x:c>
      <x:c r="P52" s="2">
        <x:v>470</x:v>
      </x:c>
      <x:c r="Q52" s="2" t="n">
        <x:f>IF(OR(J52="positive",J52="negative"),1,0)</x:f>
        <x:v>1</x:v>
      </x:c>
    </x:row>
    <x:row r="53" ht="15">
      <x:c r="A53" s="2" t="s">
        <x:v>23</x:v>
      </x:c>
      <x:c r="B53" s="2" t="s">
        <x:v>96</x:v>
      </x:c>
      <x:c r="C53" s="2">
        <x:v>3</x:v>
      </x:c>
      <x:c r="D53" s="2" t="s">
        <x:v>305</x:v>
      </x:c>
      <x:c r="E53" s="2" t="s">
        <x:v>306</x:v>
      </x:c>
      <x:c r="F53" s="7">
        <x:v>2.69E-2</x:v>
      </x:c>
      <x:c r="G53" s="2" t="s">
        <x:v>304</x:v>
      </x:c>
      <x:c r="H53" s="8">
        <x:v>0.3</x:v>
      </x:c>
      <x:c r="I53" s="9" t="n">
        <x:f t="shared" si="0">IFERROR(ABS(F53)/H53,"")</x:f>
        <x:v>0.08966666666666667</x:v>
      </x:c>
      <x:c r="J53" s="2" t="s">
        <x:v>298</x:v>
      </x:c>
      <x:c r="K53" s="8">
        <x:v>0.95455000000000001</x:v>
      </x:c>
      <x:c r="L53" s="2" t="s">
        <x:v>299</x:v>
      </x:c>
      <x:c r="M53" s="2">
        <x:v>1</x:v>
      </x:c>
      <x:c r="N53" s="2" t="s">
        <x:v>79</x:v>
      </x:c>
      <x:c r="O53" s="5">
        <x:v>58.2</x:v>
      </x:c>
      <x:c r="P53" s="2">
        <x:v>470</x:v>
      </x:c>
      <x:c r="Q53" s="2" t="n">
        <x:f>IF(OR(J53="positive",J53="negative"),1,0)</x:f>
        <x:v>1</x:v>
      </x:c>
    </x:row>
    <x:row r="54" ht="15">
      <x:c r="A54" s="2" t="s">
        <x:v>23</x:v>
      </x:c>
      <x:c r="B54" s="2" t="s">
        <x:v>97</x:v>
      </x:c>
      <x:c r="C54" s="2">
        <x:v>4</x:v>
      </x:c>
      <x:c r="D54" s="2" t="s">
        <x:v>295</x:v>
      </x:c>
      <x:c r="E54" s="2" t="s">
        <x:v>296</x:v>
      </x:c>
      <x:c r="F54" s="7">
        <x:v>0.36326000000000003</x:v>
      </x:c>
      <x:c r="G54" s="2" t="s">
        <x:v>297</x:v>
      </x:c>
      <x:c r="H54" s="8">
        <x:v>3.5</x:v>
      </x:c>
      <x:c r="I54" s="9" t="n">
        <x:f t="shared" si="0">IFERROR(ABS(F54)/H54,"")</x:f>
        <x:v>0.10378857142857144</x:v>
      </x:c>
      <x:c r="J54" s="2" t="s">
        <x:v>298</x:v>
      </x:c>
      <x:c r="K54" s="8">
        <x:v>0.95426999999999995</x:v>
      </x:c>
      <x:c r="L54" s="2" t="s">
        <x:v>299</x:v>
      </x:c>
      <x:c r="M54" s="2">
        <x:v>1</x:v>
      </x:c>
      <x:c r="N54" s="2" t="s">
        <x:v>79</x:v>
      </x:c>
      <x:c r="O54" s="5">
        <x:v>62.1</x:v>
      </x:c>
      <x:c r="P54" s="2">
        <x:v>517</x:v>
      </x:c>
      <x:c r="Q54" s="2" t="n">
        <x:f>IF(OR(J54="positive",J54="negative"),1,0)</x:f>
        <x:v>1</x:v>
      </x:c>
    </x:row>
    <x:row r="55" ht="15">
      <x:c r="A55" s="2" t="s">
        <x:v>23</x:v>
      </x:c>
      <x:c r="B55" s="2" t="s">
        <x:v>97</x:v>
      </x:c>
      <x:c r="C55" s="2">
        <x:v>4</x:v>
      </x:c>
      <x:c r="D55" s="2" t="s">
        <x:v>300</x:v>
      </x:c>
      <x:c r="E55" s="2" t="s">
        <x:v>301</x:v>
      </x:c>
      <x:c r="F55" s="7">
        <x:v>8.4269999999999998E-2</x:v>
      </x:c>
      <x:c r="G55" s="2" t="s">
        <x:v>302</x:v>
      </x:c>
      <x:c r="H55" s="8">
        <x:v>0.45</x:v>
      </x:c>
      <x:c r="I55" s="9" t="n">
        <x:f t="shared" si="0">IFERROR(ABS(F55)/H55,"")</x:f>
        <x:v>0.18726666666666666</x:v>
      </x:c>
      <x:c r="J55" s="2" t="s">
        <x:v>298</x:v>
      </x:c>
      <x:c r="K55" s="8">
        <x:v>0.93211999999999995</x:v>
      </x:c>
      <x:c r="L55" s="2" t="s">
        <x:v>299</x:v>
      </x:c>
      <x:c r="M55" s="2">
        <x:v>1</x:v>
      </x:c>
      <x:c r="N55" s="2" t="s">
        <x:v>79</x:v>
      </x:c>
      <x:c r="O55" s="5">
        <x:v>62.1</x:v>
      </x:c>
      <x:c r="P55" s="2">
        <x:v>517</x:v>
      </x:c>
      <x:c r="Q55" s="2" t="n">
        <x:f>IF(OR(J55="positive",J55="negative"),1,0)</x:f>
        <x:v>1</x:v>
      </x:c>
    </x:row>
    <x:row r="56" ht="15">
      <x:c r="A56" s="2" t="s">
        <x:v>23</x:v>
      </x:c>
      <x:c r="B56" s="2" t="s">
        <x:v>97</x:v>
      </x:c>
      <x:c r="C56" s="2">
        <x:v>4</x:v>
      </x:c>
      <x:c r="D56" s="2" t="s">
        <x:v>18</x:v>
      </x:c>
      <x:c r="E56" s="2" t="s">
        <x:v>303</x:v>
      </x:c>
      <x:c r="F56" s="7">
        <x:v>-6.5500000000000003E-3</x:v>
      </x:c>
      <x:c r="G56" s="2" t="s">
        <x:v>304</x:v>
      </x:c>
      <x:c r="H56" s="8">
        <x:v>7.4999999999999997E-2</x:v>
      </x:c>
      <x:c r="I56" s="9" t="n">
        <x:f t="shared" si="0">IFERROR(ABS(F56)/H56,"")</x:f>
        <x:v>0.08733333333333335</x:v>
      </x:c>
      <x:c r="J56" s="2" t="s">
        <x:v>298</x:v>
      </x:c>
      <x:c r="K56" s="8">
        <x:v>0.93737999999999999</x:v>
      </x:c>
      <x:c r="L56" s="2" t="s">
        <x:v>299</x:v>
      </x:c>
      <x:c r="M56" s="2">
        <x:v>1</x:v>
      </x:c>
      <x:c r="N56" s="2" t="s">
        <x:v>79</x:v>
      </x:c>
      <x:c r="O56" s="5">
        <x:v>62.1</x:v>
      </x:c>
      <x:c r="P56" s="2">
        <x:v>517</x:v>
      </x:c>
      <x:c r="Q56" s="2" t="n">
        <x:f>IF(OR(J56="positive",J56="negative"),1,0)</x:f>
        <x:v>1</x:v>
      </x:c>
    </x:row>
    <x:row r="57" ht="15">
      <x:c r="A57" s="2" t="s">
        <x:v>23</x:v>
      </x:c>
      <x:c r="B57" s="2" t="s">
        <x:v>97</x:v>
      </x:c>
      <x:c r="C57" s="2">
        <x:v>4</x:v>
      </x:c>
      <x:c r="D57" s="2" t="s">
        <x:v>305</x:v>
      </x:c>
      <x:c r="E57" s="2" t="s">
        <x:v>306</x:v>
      </x:c>
      <x:c r="F57" s="7">
        <x:v>3.6130000000000002E-2</x:v>
      </x:c>
      <x:c r="G57" s="2" t="s">
        <x:v>304</x:v>
      </x:c>
      <x:c r="H57" s="8">
        <x:v>0.3</x:v>
      </x:c>
      <x:c r="I57" s="9" t="n">
        <x:f t="shared" si="0">IFERROR(ABS(F57)/H57,"")</x:f>
        <x:v>0.12043333333333335</x:v>
      </x:c>
      <x:c r="J57" s="2" t="s">
        <x:v>298</x:v>
      </x:c>
      <x:c r="K57" s="8">
        <x:v>0.89476</x:v>
      </x:c>
      <x:c r="L57" s="2" t="s">
        <x:v>299</x:v>
      </x:c>
      <x:c r="M57" s="2">
        <x:v>1</x:v>
      </x:c>
      <x:c r="N57" s="2" t="s">
        <x:v>79</x:v>
      </x:c>
      <x:c r="O57" s="5">
        <x:v>62.1</x:v>
      </x:c>
      <x:c r="P57" s="2">
        <x:v>517</x:v>
      </x:c>
      <x:c r="Q57" s="2" t="n">
        <x:f>IF(OR(J57="positive",J57="negative"),1,0)</x:f>
        <x:v>1</x:v>
      </x:c>
    </x:row>
    <x:row r="58" ht="15">
      <x:c r="A58" s="2" t="s">
        <x:v>23</x:v>
      </x:c>
      <x:c r="B58" s="2" t="s">
        <x:v>98</x:v>
      </x:c>
      <x:c r="C58" s="2">
        <x:v>5</x:v>
      </x:c>
      <x:c r="D58" s="2" t="s">
        <x:v>295</x:v>
      </x:c>
      <x:c r="E58" s="2" t="s">
        <x:v>296</x:v>
      </x:c>
      <x:c r="F58" s="7">
        <x:v>0.43896000000000002</x:v>
      </x:c>
      <x:c r="G58" s="2" t="s">
        <x:v>297</x:v>
      </x:c>
      <x:c r="H58" s="8">
        <x:v>3.5</x:v>
      </x:c>
      <x:c r="I58" s="9" t="n">
        <x:f t="shared" si="0">IFERROR(ABS(F58)/H58,"")</x:f>
        <x:v>0.12541714285714287</x:v>
      </x:c>
      <x:c r="J58" s="2" t="s">
        <x:v>307</x:v>
      </x:c>
      <x:c r="K58" s="8">
        <x:v>0.36407</x:v>
      </x:c>
      <x:c r="L58" s="2" t="s">
        <x:v>309</x:v>
      </x:c>
      <x:c r="M58" s="2">
        <x:v>1</x:v>
      </x:c>
      <x:c r="N58" s="2" t="s">
        <x:v>79</x:v>
      </x:c>
      <x:c r="O58" s="5">
        <x:v>65.599999999999994</x:v>
      </x:c>
      <x:c r="P58" s="2">
        <x:v>345</x:v>
      </x:c>
      <x:c r="Q58" s="2" t="n">
        <x:f>IF(OR(J58="positive",J58="negative"),1,0)</x:f>
        <x:v>0</x:v>
      </x:c>
    </x:row>
    <x:row r="59" ht="15">
      <x:c r="A59" s="2" t="s">
        <x:v>23</x:v>
      </x:c>
      <x:c r="B59" s="2" t="s">
        <x:v>98</x:v>
      </x:c>
      <x:c r="C59" s="2">
        <x:v>5</x:v>
      </x:c>
      <x:c r="D59" s="2" t="s">
        <x:v>300</x:v>
      </x:c>
      <x:c r="E59" s="2" t="s">
        <x:v>301</x:v>
      </x:c>
      <x:c r="F59" s="7">
        <x:v>7.0819999999999994E-2</x:v>
      </x:c>
      <x:c r="G59" s="2" t="s">
        <x:v>302</x:v>
      </x:c>
      <x:c r="H59" s="8">
        <x:v>0.45</x:v>
      </x:c>
      <x:c r="I59" s="9" t="n">
        <x:f t="shared" si="0">IFERROR(ABS(F59)/H59,"")</x:f>
        <x:v>0.15737777777777776</x:v>
      </x:c>
      <x:c r="J59" s="2" t="s">
        <x:v>298</x:v>
      </x:c>
      <x:c r="K59" s="8">
        <x:v>0.94652000000000003</x:v>
      </x:c>
      <x:c r="L59" s="2" t="s">
        <x:v>299</x:v>
      </x:c>
      <x:c r="M59" s="2">
        <x:v>1</x:v>
      </x:c>
      <x:c r="N59" s="2" t="s">
        <x:v>79</x:v>
      </x:c>
      <x:c r="O59" s="5">
        <x:v>65.599999999999994</x:v>
      </x:c>
      <x:c r="P59" s="2">
        <x:v>345</x:v>
      </x:c>
      <x:c r="Q59" s="2" t="n">
        <x:f>IF(OR(J59="positive",J59="negative"),1,0)</x:f>
        <x:v>1</x:v>
      </x:c>
    </x:row>
    <x:row r="60" ht="15">
      <x:c r="A60" s="2" t="s">
        <x:v>23</x:v>
      </x:c>
      <x:c r="B60" s="2" t="s">
        <x:v>98</x:v>
      </x:c>
      <x:c r="C60" s="2">
        <x:v>5</x:v>
      </x:c>
      <x:c r="D60" s="2" t="s">
        <x:v>18</x:v>
      </x:c>
      <x:c r="E60" s="2" t="s">
        <x:v>303</x:v>
      </x:c>
      <x:c r="F60" s="7">
        <x:v>5.6999999999999998E-4</x:v>
      </x:c>
      <x:c r="G60" s="2" t="s">
        <x:v>304</x:v>
      </x:c>
      <x:c r="H60" s="8">
        <x:v>7.4999999999999997E-2</x:v>
      </x:c>
      <x:c r="I60" s="9" t="n">
        <x:f t="shared" si="0">IFERROR(ABS(F60)/H60,"")</x:f>
        <x:v>0.0076</x:v>
      </x:c>
      <x:c r="J60" s="2" t="s">
        <x:v>298</x:v>
      </x:c>
      <x:c r="K60" s="8">
        <x:v>0.91722000000000004</x:v>
      </x:c>
      <x:c r="L60" s="2" t="s">
        <x:v>299</x:v>
      </x:c>
      <x:c r="M60" s="2">
        <x:v>1</x:v>
      </x:c>
      <x:c r="N60" s="2" t="s">
        <x:v>79</x:v>
      </x:c>
      <x:c r="O60" s="5">
        <x:v>65.599999999999994</x:v>
      </x:c>
      <x:c r="P60" s="2">
        <x:v>345</x:v>
      </x:c>
      <x:c r="Q60" s="2" t="n">
        <x:f>IF(OR(J60="positive",J60="negative"),1,0)</x:f>
        <x:v>1</x:v>
      </x:c>
    </x:row>
    <x:row r="61" ht="15">
      <x:c r="A61" s="2" t="s">
        <x:v>23</x:v>
      </x:c>
      <x:c r="B61" s="2" t="s">
        <x:v>98</x:v>
      </x:c>
      <x:c r="C61" s="2">
        <x:v>5</x:v>
      </x:c>
      <x:c r="D61" s="2" t="s">
        <x:v>305</x:v>
      </x:c>
      <x:c r="E61" s="2" t="s">
        <x:v>306</x:v>
      </x:c>
      <x:c r="F61" s="7">
        <x:v>1.5180000000000001E-2</x:v>
      </x:c>
      <x:c r="G61" s="2" t="s">
        <x:v>304</x:v>
      </x:c>
      <x:c r="H61" s="8">
        <x:v>0.3</x:v>
      </x:c>
      <x:c r="I61" s="9" t="n">
        <x:f t="shared" si="0">IFERROR(ABS(F61)/H61,"")</x:f>
        <x:v>0.050600000000000006</x:v>
      </x:c>
      <x:c r="J61" s="2" t="s">
        <x:v>298</x:v>
      </x:c>
      <x:c r="K61" s="8">
        <x:v>0.95799999999999996</x:v>
      </x:c>
      <x:c r="L61" s="2" t="s">
        <x:v>299</x:v>
      </x:c>
      <x:c r="M61" s="2">
        <x:v>1</x:v>
      </x:c>
      <x:c r="N61" s="2" t="s">
        <x:v>79</x:v>
      </x:c>
      <x:c r="O61" s="5">
        <x:v>65.599999999999994</x:v>
      </x:c>
      <x:c r="P61" s="2">
        <x:v>345</x:v>
      </x:c>
      <x:c r="Q61" s="2" t="n">
        <x:f>IF(OR(J61="positive",J61="negative"),1,0)</x:f>
        <x:v>1</x:v>
      </x:c>
    </x:row>
    <x:row r="62" ht="15">
      <x:c r="A62" s="2" t="s">
        <x:v>25</x:v>
      </x:c>
      <x:c r="B62" s="2" t="s">
        <x:v>99</x:v>
      </x:c>
      <x:c r="C62" s="2">
        <x:v>1</x:v>
      </x:c>
      <x:c r="D62" s="2" t="s">
        <x:v>295</x:v>
      </x:c>
      <x:c r="E62" s="2" t="s">
        <x:v>296</x:v>
      </x:c>
      <x:c r="F62" s="7">
        <x:v>0.44003999999999999</x:v>
      </x:c>
      <x:c r="G62" s="2" t="s">
        <x:v>297</x:v>
      </x:c>
      <x:c r="H62" s="8">
        <x:v>3.5</x:v>
      </x:c>
      <x:c r="I62" s="9" t="n">
        <x:f t="shared" si="0">IFERROR(ABS(F62)/H62,"")</x:f>
        <x:v>0.12572571428571427</x:v>
      </x:c>
      <x:c r="J62" s="2" t="s">
        <x:v>298</x:v>
      </x:c>
      <x:c r="K62" s="8">
        <x:v>0.95813999999999999</x:v>
      </x:c>
      <x:c r="L62" s="2" t="s">
        <x:v>299</x:v>
      </x:c>
      <x:c r="M62" s="2">
        <x:v>1</x:v>
      </x:c>
      <x:c r="N62" s="2" t="s">
        <x:v>79</x:v>
      </x:c>
      <x:c r="O62" s="5">
        <x:v>68.099999999999994</x:v>
      </x:c>
      <x:c r="P62" s="2">
        <x:v>505</x:v>
      </x:c>
      <x:c r="Q62" s="2" t="n">
        <x:f>IF(OR(J62="positive",J62="negative"),1,0)</x:f>
        <x:v>1</x:v>
      </x:c>
    </x:row>
    <x:row r="63" ht="15">
      <x:c r="A63" s="2" t="s">
        <x:v>25</x:v>
      </x:c>
      <x:c r="B63" s="2" t="s">
        <x:v>99</x:v>
      </x:c>
      <x:c r="C63" s="2">
        <x:v>1</x:v>
      </x:c>
      <x:c r="D63" s="2" t="s">
        <x:v>300</x:v>
      </x:c>
      <x:c r="E63" s="2" t="s">
        <x:v>301</x:v>
      </x:c>
      <x:c r="F63" s="7">
        <x:v>7.9409999999999994E-2</x:v>
      </x:c>
      <x:c r="G63" s="2" t="s">
        <x:v>302</x:v>
      </x:c>
      <x:c r="H63" s="8">
        <x:v>0.45</x:v>
      </x:c>
      <x:c r="I63" s="9" t="n">
        <x:f t="shared" si="0">IFERROR(ABS(F63)/H63,"")</x:f>
        <x:v>0.17646666666666666</x:v>
      </x:c>
      <x:c r="J63" s="2" t="s">
        <x:v>298</x:v>
      </x:c>
      <x:c r="K63" s="8">
        <x:v>0.90300999999999998</x:v>
      </x:c>
      <x:c r="L63" s="2" t="s">
        <x:v>299</x:v>
      </x:c>
      <x:c r="M63" s="2">
        <x:v>1</x:v>
      </x:c>
      <x:c r="N63" s="2" t="s">
        <x:v>79</x:v>
      </x:c>
      <x:c r="O63" s="5">
        <x:v>68.099999999999994</x:v>
      </x:c>
      <x:c r="P63" s="2">
        <x:v>505</x:v>
      </x:c>
      <x:c r="Q63" s="2" t="n">
        <x:f>IF(OR(J63="positive",J63="negative"),1,0)</x:f>
        <x:v>1</x:v>
      </x:c>
    </x:row>
    <x:row r="64" ht="15">
      <x:c r="A64" s="2" t="s">
        <x:v>25</x:v>
      </x:c>
      <x:c r="B64" s="2" t="s">
        <x:v>99</x:v>
      </x:c>
      <x:c r="C64" s="2">
        <x:v>1</x:v>
      </x:c>
      <x:c r="D64" s="2" t="s">
        <x:v>18</x:v>
      </x:c>
      <x:c r="E64" s="2" t="s">
        <x:v>303</x:v>
      </x:c>
      <x:c r="F64" s="7">
        <x:v>-1.58E-3</x:v>
      </x:c>
      <x:c r="G64" s="2" t="s">
        <x:v>304</x:v>
      </x:c>
      <x:c r="H64" s="8">
        <x:v>7.4999999999999997E-2</x:v>
      </x:c>
      <x:c r="I64" s="9" t="n">
        <x:f t="shared" si="0">IFERROR(ABS(F64)/H64,"")</x:f>
        <x:v>0.021066666666666668</x:v>
      </x:c>
      <x:c r="J64" s="2" t="s">
        <x:v>298</x:v>
      </x:c>
      <x:c r="K64" s="8">
        <x:v>0.96977999999999998</x:v>
      </x:c>
      <x:c r="L64" s="2" t="s">
        <x:v>299</x:v>
      </x:c>
      <x:c r="M64" s="2">
        <x:v>1</x:v>
      </x:c>
      <x:c r="N64" s="2" t="s">
        <x:v>79</x:v>
      </x:c>
      <x:c r="O64" s="5">
        <x:v>68.099999999999994</x:v>
      </x:c>
      <x:c r="P64" s="2">
        <x:v>505</x:v>
      </x:c>
      <x:c r="Q64" s="2" t="n">
        <x:f>IF(OR(J64="positive",J64="negative"),1,0)</x:f>
        <x:v>1</x:v>
      </x:c>
    </x:row>
    <x:row r="65" ht="15">
      <x:c r="A65" s="2" t="s">
        <x:v>25</x:v>
      </x:c>
      <x:c r="B65" s="2" t="s">
        <x:v>99</x:v>
      </x:c>
      <x:c r="C65" s="2">
        <x:v>1</x:v>
      </x:c>
      <x:c r="D65" s="2" t="s">
        <x:v>305</x:v>
      </x:c>
      <x:c r="E65" s="2" t="s">
        <x:v>306</x:v>
      </x:c>
      <x:c r="F65" s="7">
        <x:v>-4.5960000000000001E-2</x:v>
      </x:c>
      <x:c r="G65" s="2" t="s">
        <x:v>304</x:v>
      </x:c>
      <x:c r="H65" s="8">
        <x:v>0.3</x:v>
      </x:c>
      <x:c r="I65" s="9" t="n">
        <x:f t="shared" si="0">IFERROR(ABS(F65)/H65,"")</x:f>
        <x:v>0.1532</x:v>
      </x:c>
      <x:c r="J65" s="2" t="s">
        <x:v>298</x:v>
      </x:c>
      <x:c r="K65" s="8">
        <x:v>0.86370000000000002</x:v>
      </x:c>
      <x:c r="L65" s="2" t="s">
        <x:v>299</x:v>
      </x:c>
      <x:c r="M65" s="2">
        <x:v>1</x:v>
      </x:c>
      <x:c r="N65" s="2" t="s">
        <x:v>79</x:v>
      </x:c>
      <x:c r="O65" s="5">
        <x:v>68.099999999999994</x:v>
      </x:c>
      <x:c r="P65" s="2">
        <x:v>505</x:v>
      </x:c>
      <x:c r="Q65" s="2" t="n">
        <x:f>IF(OR(J65="positive",J65="negative"),1,0)</x:f>
        <x:v>1</x:v>
      </x:c>
    </x:row>
    <x:row r="66" ht="15">
      <x:c r="A66" s="2" t="s">
        <x:v>25</x:v>
      </x:c>
      <x:c r="B66" s="2" t="s">
        <x:v>101</x:v>
      </x:c>
      <x:c r="C66" s="2">
        <x:v>2</x:v>
      </x:c>
      <x:c r="D66" s="2" t="s">
        <x:v>295</x:v>
      </x:c>
      <x:c r="E66" s="2" t="s">
        <x:v>296</x:v>
      </x:c>
      <x:c r="F66" s="7">
        <x:v>0.41631000000000001</x:v>
      </x:c>
      <x:c r="G66" s="2" t="s">
        <x:v>297</x:v>
      </x:c>
      <x:c r="H66" s="8">
        <x:v>3.5</x:v>
      </x:c>
      <x:c r="I66" s="9" t="n">
        <x:f t="shared" ref="I66:I129" si="1">IFERROR(ABS(F66)/H66,"")</x:f>
        <x:v>0.1189457142857143</x:v>
      </x:c>
      <x:c r="J66" s="2" t="s">
        <x:v>298</x:v>
      </x:c>
      <x:c r="K66" s="8">
        <x:v>0.93140000000000001</x:v>
      </x:c>
      <x:c r="L66" s="2" t="s">
        <x:v>299</x:v>
      </x:c>
      <x:c r="M66" s="2">
        <x:v>1</x:v>
      </x:c>
      <x:c r="N66" s="2" t="s">
        <x:v>79</x:v>
      </x:c>
      <x:c r="O66" s="5">
        <x:v>62.6</x:v>
      </x:c>
      <x:c r="P66" s="2">
        <x:v>374</x:v>
      </x:c>
      <x:c r="Q66" s="2" t="n">
        <x:f>IF(OR(J66="positive",J66="negative"),1,0)</x:f>
        <x:v>1</x:v>
      </x:c>
    </x:row>
    <x:row r="67" ht="15">
      <x:c r="A67" s="2" t="s">
        <x:v>25</x:v>
      </x:c>
      <x:c r="B67" s="2" t="s">
        <x:v>101</x:v>
      </x:c>
      <x:c r="C67" s="2">
        <x:v>2</x:v>
      </x:c>
      <x:c r="D67" s="2" t="s">
        <x:v>300</x:v>
      </x:c>
      <x:c r="E67" s="2" t="s">
        <x:v>301</x:v>
      </x:c>
      <x:c r="F67" s="7">
        <x:v>3.9489999999999997E-2</x:v>
      </x:c>
      <x:c r="G67" s="2" t="s">
        <x:v>302</x:v>
      </x:c>
      <x:c r="H67" s="8">
        <x:v>0.45</x:v>
      </x:c>
      <x:c r="I67" s="9" t="n">
        <x:f t="shared" si="1">IFERROR(ABS(F67)/H67,"")</x:f>
        <x:v>0.08775555555555554</x:v>
      </x:c>
      <x:c r="J67" s="2" t="s">
        <x:v>298</x:v>
      </x:c>
      <x:c r="K67" s="8">
        <x:v>0.91498999999999997</x:v>
      </x:c>
      <x:c r="L67" s="2" t="s">
        <x:v>299</x:v>
      </x:c>
      <x:c r="M67" s="2">
        <x:v>1</x:v>
      </x:c>
      <x:c r="N67" s="2" t="s">
        <x:v>79</x:v>
      </x:c>
      <x:c r="O67" s="5">
        <x:v>62.6</x:v>
      </x:c>
      <x:c r="P67" s="2">
        <x:v>374</x:v>
      </x:c>
      <x:c r="Q67" s="2" t="n">
        <x:f>IF(OR(J67="positive",J67="negative"),1,0)</x:f>
        <x:v>1</x:v>
      </x:c>
    </x:row>
    <x:row r="68" ht="15">
      <x:c r="A68" s="2" t="s">
        <x:v>25</x:v>
      </x:c>
      <x:c r="B68" s="2" t="s">
        <x:v>101</x:v>
      </x:c>
      <x:c r="C68" s="2">
        <x:v>2</x:v>
      </x:c>
      <x:c r="D68" s="2" t="s">
        <x:v>18</x:v>
      </x:c>
      <x:c r="E68" s="2" t="s">
        <x:v>303</x:v>
      </x:c>
      <x:c r="F68" s="7">
        <x:v>-1.175E-2</x:v>
      </x:c>
      <x:c r="G68" s="2" t="s">
        <x:v>304</x:v>
      </x:c>
      <x:c r="H68" s="8">
        <x:v>7.4999999999999997E-2</x:v>
      </x:c>
      <x:c r="I68" s="9" t="n">
        <x:f t="shared" si="1">IFERROR(ABS(F68)/H68,"")</x:f>
        <x:v>0.15666666666666668</x:v>
      </x:c>
      <x:c r="J68" s="2" t="s">
        <x:v>298</x:v>
      </x:c>
      <x:c r="K68" s="8">
        <x:v>0.93988000000000005</x:v>
      </x:c>
      <x:c r="L68" s="2" t="s">
        <x:v>299</x:v>
      </x:c>
      <x:c r="M68" s="2">
        <x:v>1</x:v>
      </x:c>
      <x:c r="N68" s="2" t="s">
        <x:v>79</x:v>
      </x:c>
      <x:c r="O68" s="5">
        <x:v>62.6</x:v>
      </x:c>
      <x:c r="P68" s="2">
        <x:v>374</x:v>
      </x:c>
      <x:c r="Q68" s="2" t="n">
        <x:f>IF(OR(J68="positive",J68="negative"),1,0)</x:f>
        <x:v>1</x:v>
      </x:c>
    </x:row>
    <x:row r="69" ht="15">
      <x:c r="A69" s="2" t="s">
        <x:v>25</x:v>
      </x:c>
      <x:c r="B69" s="2" t="s">
        <x:v>101</x:v>
      </x:c>
      <x:c r="C69" s="2">
        <x:v>2</x:v>
      </x:c>
      <x:c r="D69" s="2" t="s">
        <x:v>305</x:v>
      </x:c>
      <x:c r="E69" s="2" t="s">
        <x:v>306</x:v>
      </x:c>
      <x:c r="F69" s="7">
        <x:v>-3.5639999999999998E-2</x:v>
      </x:c>
      <x:c r="G69" s="2" t="s">
        <x:v>304</x:v>
      </x:c>
      <x:c r="H69" s="8">
        <x:v>0.3</x:v>
      </x:c>
      <x:c r="I69" s="9" t="n">
        <x:f t="shared" si="1">IFERROR(ABS(F69)/H69,"")</x:f>
        <x:v>0.1188</x:v>
      </x:c>
      <x:c r="J69" s="2" t="s">
        <x:v>298</x:v>
      </x:c>
      <x:c r="K69" s="8">
        <x:v>0.91834000000000005</x:v>
      </x:c>
      <x:c r="L69" s="2" t="s">
        <x:v>299</x:v>
      </x:c>
      <x:c r="M69" s="2">
        <x:v>1</x:v>
      </x:c>
      <x:c r="N69" s="2" t="s">
        <x:v>79</x:v>
      </x:c>
      <x:c r="O69" s="5">
        <x:v>62.6</x:v>
      </x:c>
      <x:c r="P69" s="2">
        <x:v>374</x:v>
      </x:c>
      <x:c r="Q69" s="2" t="n">
        <x:f>IF(OR(J69="positive",J69="negative"),1,0)</x:f>
        <x:v>1</x:v>
      </x:c>
    </x:row>
    <x:row r="70" ht="15">
      <x:c r="A70" s="2" t="s">
        <x:v>25</x:v>
      </x:c>
      <x:c r="B70" s="2" t="s">
        <x:v>102</x:v>
      </x:c>
      <x:c r="C70" s="2">
        <x:v>3</x:v>
      </x:c>
      <x:c r="D70" s="2" t="s">
        <x:v>295</x:v>
      </x:c>
      <x:c r="E70" s="2" t="s">
        <x:v>296</x:v>
      </x:c>
      <x:c r="F70" s="7">
        <x:v>0.57923000000000002</x:v>
      </x:c>
      <x:c r="G70" s="2" t="s">
        <x:v>297</x:v>
      </x:c>
      <x:c r="H70" s="8">
        <x:v>3.5</x:v>
      </x:c>
      <x:c r="I70" s="9" t="n">
        <x:f t="shared" si="1">IFERROR(ABS(F70)/H70,"")</x:f>
        <x:v>0.16549428571428573</x:v>
      </x:c>
      <x:c r="J70" s="2" t="s">
        <x:v>298</x:v>
      </x:c>
      <x:c r="K70" s="8">
        <x:v>0.93759000000000003</x:v>
      </x:c>
      <x:c r="L70" s="2" t="s">
        <x:v>299</x:v>
      </x:c>
      <x:c r="M70" s="2">
        <x:v>1</x:v>
      </x:c>
      <x:c r="N70" s="2" t="s">
        <x:v>79</x:v>
      </x:c>
      <x:c r="O70" s="5">
        <x:v>57</x:v>
      </x:c>
      <x:c r="P70" s="2">
        <x:v>232</x:v>
      </x:c>
      <x:c r="Q70" s="2" t="n">
        <x:f>IF(OR(J70="positive",J70="negative"),1,0)</x:f>
        <x:v>1</x:v>
      </x:c>
    </x:row>
    <x:row r="71" ht="15">
      <x:c r="A71" s="2" t="s">
        <x:v>25</x:v>
      </x:c>
      <x:c r="B71" s="2" t="s">
        <x:v>102</x:v>
      </x:c>
      <x:c r="C71" s="2">
        <x:v>3</x:v>
      </x:c>
      <x:c r="D71" s="2" t="s">
        <x:v>300</x:v>
      </x:c>
      <x:c r="E71" s="2" t="s">
        <x:v>301</x:v>
      </x:c>
      <x:c r="F71" s="7">
        <x:v>7.7660000000000007E-2</x:v>
      </x:c>
      <x:c r="G71" s="2" t="s">
        <x:v>302</x:v>
      </x:c>
      <x:c r="H71" s="8">
        <x:v>0.45</x:v>
      </x:c>
      <x:c r="I71" s="9" t="n">
        <x:f t="shared" si="1">IFERROR(ABS(F71)/H71,"")</x:f>
        <x:v>0.1725777777777778</x:v>
      </x:c>
      <x:c r="J71" s="2" t="s">
        <x:v>298</x:v>
      </x:c>
      <x:c r="K71" s="8">
        <x:v>0.94691000000000003</x:v>
      </x:c>
      <x:c r="L71" s="2" t="s">
        <x:v>299</x:v>
      </x:c>
      <x:c r="M71" s="2">
        <x:v>1</x:v>
      </x:c>
      <x:c r="N71" s="2" t="s">
        <x:v>79</x:v>
      </x:c>
      <x:c r="O71" s="5">
        <x:v>57</x:v>
      </x:c>
      <x:c r="P71" s="2">
        <x:v>232</x:v>
      </x:c>
      <x:c r="Q71" s="2" t="n">
        <x:f>IF(OR(J71="positive",J71="negative"),1,0)</x:f>
        <x:v>1</x:v>
      </x:c>
    </x:row>
    <x:row r="72" ht="15">
      <x:c r="A72" s="2" t="s">
        <x:v>25</x:v>
      </x:c>
      <x:c r="B72" s="2" t="s">
        <x:v>102</x:v>
      </x:c>
      <x:c r="C72" s="2">
        <x:v>3</x:v>
      </x:c>
      <x:c r="D72" s="2" t="s">
        <x:v>18</x:v>
      </x:c>
      <x:c r="E72" s="2" t="s">
        <x:v>303</x:v>
      </x:c>
      <x:c r="F72" s="7">
        <x:v>-8.5500000000000003E-3</x:v>
      </x:c>
      <x:c r="G72" s="2" t="s">
        <x:v>304</x:v>
      </x:c>
      <x:c r="H72" s="8">
        <x:v>7.4999999999999997E-2</x:v>
      </x:c>
      <x:c r="I72" s="9" t="n">
        <x:f t="shared" si="1">IFERROR(ABS(F72)/H72,"")</x:f>
        <x:v>0.114</x:v>
      </x:c>
      <x:c r="J72" s="2" t="s">
        <x:v>298</x:v>
      </x:c>
      <x:c r="K72" s="8">
        <x:v>0.97882000000000002</x:v>
      </x:c>
      <x:c r="L72" s="2" t="s">
        <x:v>299</x:v>
      </x:c>
      <x:c r="M72" s="2">
        <x:v>1</x:v>
      </x:c>
      <x:c r="N72" s="2" t="s">
        <x:v>79</x:v>
      </x:c>
      <x:c r="O72" s="5">
        <x:v>57</x:v>
      </x:c>
      <x:c r="P72" s="2">
        <x:v>232</x:v>
      </x:c>
      <x:c r="Q72" s="2" t="n">
        <x:f>IF(OR(J72="positive",J72="negative"),1,0)</x:f>
        <x:v>1</x:v>
      </x:c>
    </x:row>
    <x:row r="73" ht="15">
      <x:c r="A73" s="2" t="s">
        <x:v>25</x:v>
      </x:c>
      <x:c r="B73" s="2" t="s">
        <x:v>102</x:v>
      </x:c>
      <x:c r="C73" s="2">
        <x:v>3</x:v>
      </x:c>
      <x:c r="D73" s="2" t="s">
        <x:v>305</x:v>
      </x:c>
      <x:c r="E73" s="2" t="s">
        <x:v>306</x:v>
      </x:c>
      <x:c r="F73" s="7">
        <x:v>-3.0040000000000001E-2</x:v>
      </x:c>
      <x:c r="G73" s="2" t="s">
        <x:v>304</x:v>
      </x:c>
      <x:c r="H73" s="8">
        <x:v>0.3</x:v>
      </x:c>
      <x:c r="I73" s="9" t="n">
        <x:f t="shared" si="1">IFERROR(ABS(F73)/H73,"")</x:f>
        <x:v>0.10013333333333334</x:v>
      </x:c>
      <x:c r="J73" s="2" t="s">
        <x:v>298</x:v>
      </x:c>
      <x:c r="K73" s="8">
        <x:v>0.97113000000000005</x:v>
      </x:c>
      <x:c r="L73" s="2" t="s">
        <x:v>299</x:v>
      </x:c>
      <x:c r="M73" s="2">
        <x:v>1</x:v>
      </x:c>
      <x:c r="N73" s="2" t="s">
        <x:v>79</x:v>
      </x:c>
      <x:c r="O73" s="5">
        <x:v>57</x:v>
      </x:c>
      <x:c r="P73" s="2">
        <x:v>232</x:v>
      </x:c>
      <x:c r="Q73" s="2" t="n">
        <x:f>IF(OR(J73="positive",J73="negative"),1,0)</x:f>
        <x:v>1</x:v>
      </x:c>
    </x:row>
    <x:row r="74" ht="15">
      <x:c r="A74" s="2" t="s">
        <x:v>25</x:v>
      </x:c>
      <x:c r="B74" s="2" t="s">
        <x:v>103</x:v>
      </x:c>
      <x:c r="C74" s="2">
        <x:v>4</x:v>
      </x:c>
      <x:c r="D74" s="2" t="s">
        <x:v>295</x:v>
      </x:c>
      <x:c r="E74" s="2" t="s">
        <x:v>296</x:v>
      </x:c>
      <x:c r="F74" s="7">
        <x:v>0.48801</x:v>
      </x:c>
      <x:c r="G74" s="2" t="s">
        <x:v>297</x:v>
      </x:c>
      <x:c r="H74" s="8">
        <x:v>3.5</x:v>
      </x:c>
      <x:c r="I74" s="9" t="n">
        <x:f t="shared" si="1">IFERROR(ABS(F74)/H74,"")</x:f>
        <x:v>0.13943142857142857</x:v>
      </x:c>
      <x:c r="J74" s="2" t="s">
        <x:v>298</x:v>
      </x:c>
      <x:c r="K74" s="8">
        <x:v>0.94684999999999997</x:v>
      </x:c>
      <x:c r="L74" s="2" t="s">
        <x:v>299</x:v>
      </x:c>
      <x:c r="M74" s="2">
        <x:v>1</x:v>
      </x:c>
      <x:c r="N74" s="2" t="s">
        <x:v>79</x:v>
      </x:c>
      <x:c r="O74" s="5">
        <x:v>63.2</x:v>
      </x:c>
      <x:c r="P74" s="2">
        <x:v>352</x:v>
      </x:c>
      <x:c r="Q74" s="2" t="n">
        <x:f>IF(OR(J74="positive",J74="negative"),1,0)</x:f>
        <x:v>1</x:v>
      </x:c>
    </x:row>
    <x:row r="75" ht="15">
      <x:c r="A75" s="2" t="s">
        <x:v>25</x:v>
      </x:c>
      <x:c r="B75" s="2" t="s">
        <x:v>103</x:v>
      </x:c>
      <x:c r="C75" s="2">
        <x:v>4</x:v>
      </x:c>
      <x:c r="D75" s="2" t="s">
        <x:v>300</x:v>
      </x:c>
      <x:c r="E75" s="2" t="s">
        <x:v>301</x:v>
      </x:c>
      <x:c r="F75" s="7">
        <x:v>6.4930000000000002E-2</x:v>
      </x:c>
      <x:c r="G75" s="2" t="s">
        <x:v>302</x:v>
      </x:c>
      <x:c r="H75" s="8">
        <x:v>0.45</x:v>
      </x:c>
      <x:c r="I75" s="9" t="n">
        <x:f t="shared" si="1">IFERROR(ABS(F75)/H75,"")</x:f>
        <x:v>0.14428888888888888</x:v>
      </x:c>
      <x:c r="J75" s="2" t="s">
        <x:v>298</x:v>
      </x:c>
      <x:c r="K75" s="8">
        <x:v>0.98567000000000005</x:v>
      </x:c>
      <x:c r="L75" s="2" t="s">
        <x:v>299</x:v>
      </x:c>
      <x:c r="M75" s="2">
        <x:v>1</x:v>
      </x:c>
      <x:c r="N75" s="2" t="s">
        <x:v>79</x:v>
      </x:c>
      <x:c r="O75" s="5">
        <x:v>63.2</x:v>
      </x:c>
      <x:c r="P75" s="2">
        <x:v>352</x:v>
      </x:c>
      <x:c r="Q75" s="2" t="n">
        <x:f>IF(OR(J75="positive",J75="negative"),1,0)</x:f>
        <x:v>1</x:v>
      </x:c>
    </x:row>
    <x:row r="76" ht="15">
      <x:c r="A76" s="2" t="s">
        <x:v>25</x:v>
      </x:c>
      <x:c r="B76" s="2" t="s">
        <x:v>103</x:v>
      </x:c>
      <x:c r="C76" s="2">
        <x:v>4</x:v>
      </x:c>
      <x:c r="D76" s="2" t="s">
        <x:v>18</x:v>
      </x:c>
      <x:c r="E76" s="2" t="s">
        <x:v>303</x:v>
      </x:c>
      <x:c r="F76" s="7">
        <x:v>-1.6459999999999999E-2</x:v>
      </x:c>
      <x:c r="G76" s="2" t="s">
        <x:v>304</x:v>
      </x:c>
      <x:c r="H76" s="8">
        <x:v>7.4999999999999997E-2</x:v>
      </x:c>
      <x:c r="I76" s="9" t="n">
        <x:f t="shared" si="1">IFERROR(ABS(F76)/H76,"")</x:f>
        <x:v>0.21946666666666667</x:v>
      </x:c>
      <x:c r="J76" s="2" t="s">
        <x:v>298</x:v>
      </x:c>
      <x:c r="K76" s="8">
        <x:v>0.96582000000000001</x:v>
      </x:c>
      <x:c r="L76" s="2" t="s">
        <x:v>299</x:v>
      </x:c>
      <x:c r="M76" s="2">
        <x:v>1</x:v>
      </x:c>
      <x:c r="N76" s="2" t="s">
        <x:v>79</x:v>
      </x:c>
      <x:c r="O76" s="5">
        <x:v>63.2</x:v>
      </x:c>
      <x:c r="P76" s="2">
        <x:v>352</x:v>
      </x:c>
      <x:c r="Q76" s="2" t="n">
        <x:f>IF(OR(J76="positive",J76="negative"),1,0)</x:f>
        <x:v>1</x:v>
      </x:c>
    </x:row>
    <x:row r="77" ht="15">
      <x:c r="A77" s="2" t="s">
        <x:v>25</x:v>
      </x:c>
      <x:c r="B77" s="2" t="s">
        <x:v>103</x:v>
      </x:c>
      <x:c r="C77" s="2">
        <x:v>4</x:v>
      </x:c>
      <x:c r="D77" s="2" t="s">
        <x:v>305</x:v>
      </x:c>
      <x:c r="E77" s="2" t="s">
        <x:v>306</x:v>
      </x:c>
      <x:c r="F77" s="7">
        <x:v>-4.7849999999999997E-2</x:v>
      </x:c>
      <x:c r="G77" s="2" t="s">
        <x:v>304</x:v>
      </x:c>
      <x:c r="H77" s="8">
        <x:v>0.3</x:v>
      </x:c>
      <x:c r="I77" s="9" t="n">
        <x:f t="shared" si="1">IFERROR(ABS(F77)/H77,"")</x:f>
        <x:v>0.1595</x:v>
      </x:c>
      <x:c r="J77" s="2" t="s">
        <x:v>298</x:v>
      </x:c>
      <x:c r="K77" s="8">
        <x:v>0.98729</x:v>
      </x:c>
      <x:c r="L77" s="2" t="s">
        <x:v>299</x:v>
      </x:c>
      <x:c r="M77" s="2">
        <x:v>1</x:v>
      </x:c>
      <x:c r="N77" s="2" t="s">
        <x:v>79</x:v>
      </x:c>
      <x:c r="O77" s="5">
        <x:v>63.2</x:v>
      </x:c>
      <x:c r="P77" s="2">
        <x:v>352</x:v>
      </x:c>
      <x:c r="Q77" s="2" t="n">
        <x:f>IF(OR(J77="positive",J77="negative"),1,0)</x:f>
        <x:v>1</x:v>
      </x:c>
    </x:row>
    <x:row r="78" ht="15">
      <x:c r="A78" s="2" t="s">
        <x:v>25</x:v>
      </x:c>
      <x:c r="B78" s="2" t="s">
        <x:v>104</x:v>
      </x:c>
      <x:c r="C78" s="2">
        <x:v>5</x:v>
      </x:c>
      <x:c r="D78" s="2" t="s">
        <x:v>295</x:v>
      </x:c>
      <x:c r="E78" s="2" t="s">
        <x:v>296</x:v>
      </x:c>
      <x:c r="F78" s="7">
        <x:v>0.46234999999999998</x:v>
      </x:c>
      <x:c r="G78" s="2" t="s">
        <x:v>297</x:v>
      </x:c>
      <x:c r="H78" s="8">
        <x:v>3.5</x:v>
      </x:c>
      <x:c r="I78" s="9" t="n">
        <x:f t="shared" si="1">IFERROR(ABS(F78)/H78,"")</x:f>
        <x:v>0.1321</x:v>
      </x:c>
      <x:c r="J78" s="2" t="s">
        <x:v>298</x:v>
      </x:c>
      <x:c r="K78" s="8">
        <x:v>0.96326999999999996</x:v>
      </x:c>
      <x:c r="L78" s="2" t="s">
        <x:v>299</x:v>
      </x:c>
      <x:c r="M78" s="2">
        <x:v>1</x:v>
      </x:c>
      <x:c r="N78" s="2" t="s">
        <x:v>79</x:v>
      </x:c>
      <x:c r="O78" s="5">
        <x:v>60.3</x:v>
      </x:c>
      <x:c r="P78" s="2">
        <x:v>375</x:v>
      </x:c>
      <x:c r="Q78" s="2" t="n">
        <x:f>IF(OR(J78="positive",J78="negative"),1,0)</x:f>
        <x:v>1</x:v>
      </x:c>
    </x:row>
    <x:row r="79" ht="15">
      <x:c r="A79" s="2" t="s">
        <x:v>25</x:v>
      </x:c>
      <x:c r="B79" s="2" t="s">
        <x:v>104</x:v>
      </x:c>
      <x:c r="C79" s="2">
        <x:v>5</x:v>
      </x:c>
      <x:c r="D79" s="2" t="s">
        <x:v>300</x:v>
      </x:c>
      <x:c r="E79" s="2" t="s">
        <x:v>301</x:v>
      </x:c>
      <x:c r="F79" s="7">
        <x:v>7.1929999999999994E-2</x:v>
      </x:c>
      <x:c r="G79" s="2" t="s">
        <x:v>302</x:v>
      </x:c>
      <x:c r="H79" s="8">
        <x:v>0.45</x:v>
      </x:c>
      <x:c r="I79" s="9" t="n">
        <x:f t="shared" si="1">IFERROR(ABS(F79)/H79,"")</x:f>
        <x:v>0.15984444444444443</x:v>
      </x:c>
      <x:c r="J79" s="2" t="s">
        <x:v>298</x:v>
      </x:c>
      <x:c r="K79" s="8">
        <x:v>0.95977999999999997</x:v>
      </x:c>
      <x:c r="L79" s="2" t="s">
        <x:v>299</x:v>
      </x:c>
      <x:c r="M79" s="2">
        <x:v>1</x:v>
      </x:c>
      <x:c r="N79" s="2" t="s">
        <x:v>79</x:v>
      </x:c>
      <x:c r="O79" s="5">
        <x:v>60.3</x:v>
      </x:c>
      <x:c r="P79" s="2">
        <x:v>375</x:v>
      </x:c>
      <x:c r="Q79" s="2" t="n">
        <x:f>IF(OR(J79="positive",J79="negative"),1,0)</x:f>
        <x:v>1</x:v>
      </x:c>
    </x:row>
    <x:row r="80" ht="15">
      <x:c r="A80" s="2" t="s">
        <x:v>25</x:v>
      </x:c>
      <x:c r="B80" s="2" t="s">
        <x:v>104</x:v>
      </x:c>
      <x:c r="C80" s="2">
        <x:v>5</x:v>
      </x:c>
      <x:c r="D80" s="2" t="s">
        <x:v>18</x:v>
      </x:c>
      <x:c r="E80" s="2" t="s">
        <x:v>303</x:v>
      </x:c>
      <x:c r="F80" s="7">
        <x:v>-9.1800000000000007E-3</x:v>
      </x:c>
      <x:c r="G80" s="2" t="s">
        <x:v>304</x:v>
      </x:c>
      <x:c r="H80" s="8">
        <x:v>7.4999999999999997E-2</x:v>
      </x:c>
      <x:c r="I80" s="9" t="n">
        <x:f t="shared" si="1">IFERROR(ABS(F80)/H80,"")</x:f>
        <x:v>0.12240000000000001</x:v>
      </x:c>
      <x:c r="J80" s="2" t="s">
        <x:v>298</x:v>
      </x:c>
      <x:c r="K80" s="8">
        <x:v>0.96308000000000005</x:v>
      </x:c>
      <x:c r="L80" s="2" t="s">
        <x:v>299</x:v>
      </x:c>
      <x:c r="M80" s="2">
        <x:v>1</x:v>
      </x:c>
      <x:c r="N80" s="2" t="s">
        <x:v>79</x:v>
      </x:c>
      <x:c r="O80" s="5">
        <x:v>60.3</x:v>
      </x:c>
      <x:c r="P80" s="2">
        <x:v>375</x:v>
      </x:c>
      <x:c r="Q80" s="2" t="n">
        <x:f>IF(OR(J80="positive",J80="negative"),1,0)</x:f>
        <x:v>1</x:v>
      </x:c>
    </x:row>
    <x:row r="81" ht="15">
      <x:c r="A81" s="2" t="s">
        <x:v>25</x:v>
      </x:c>
      <x:c r="B81" s="2" t="s">
        <x:v>104</x:v>
      </x:c>
      <x:c r="C81" s="2">
        <x:v>5</x:v>
      </x:c>
      <x:c r="D81" s="2" t="s">
        <x:v>305</x:v>
      </x:c>
      <x:c r="E81" s="2" t="s">
        <x:v>306</x:v>
      </x:c>
      <x:c r="F81" s="7">
        <x:v>-3.261E-2</x:v>
      </x:c>
      <x:c r="G81" s="2" t="s">
        <x:v>304</x:v>
      </x:c>
      <x:c r="H81" s="8">
        <x:v>0.3</x:v>
      </x:c>
      <x:c r="I81" s="9" t="n">
        <x:f t="shared" si="1">IFERROR(ABS(F81)/H81,"")</x:f>
        <x:v>0.1087</x:v>
      </x:c>
      <x:c r="J81" s="2" t="s">
        <x:v>298</x:v>
      </x:c>
      <x:c r="K81" s="8">
        <x:v>0.92467999999999995</x:v>
      </x:c>
      <x:c r="L81" s="2" t="s">
        <x:v>299</x:v>
      </x:c>
      <x:c r="M81" s="2">
        <x:v>1</x:v>
      </x:c>
      <x:c r="N81" s="2" t="s">
        <x:v>79</x:v>
      </x:c>
      <x:c r="O81" s="5">
        <x:v>60.3</x:v>
      </x:c>
      <x:c r="P81" s="2">
        <x:v>375</x:v>
      </x:c>
      <x:c r="Q81" s="2" t="n">
        <x:f>IF(OR(J81="positive",J81="negative"),1,0)</x:f>
        <x:v>1</x:v>
      </x:c>
    </x:row>
    <x:row r="82" ht="15">
      <x:c r="A82" s="2" t="s">
        <x:v>27</x:v>
      </x:c>
      <x:c r="B82" s="2" t="s">
        <x:v>105</x:v>
      </x:c>
      <x:c r="C82" s="2">
        <x:v>1</x:v>
      </x:c>
      <x:c r="D82" s="2" t="s">
        <x:v>295</x:v>
      </x:c>
      <x:c r="E82" s="2" t="s">
        <x:v>296</x:v>
      </x:c>
      <x:c r="F82" s="7">
        <x:v>0.39931</x:v>
      </x:c>
      <x:c r="G82" s="2" t="s">
        <x:v>297</x:v>
      </x:c>
      <x:c r="H82" s="8">
        <x:v>3.5</x:v>
      </x:c>
      <x:c r="I82" s="9" t="n">
        <x:f t="shared" si="1">IFERROR(ABS(F82)/H82,"")</x:f>
        <x:v>0.11408857142857143</x:v>
      </x:c>
      <x:c r="J82" s="2" t="s">
        <x:v>298</x:v>
      </x:c>
      <x:c r="K82" s="8">
        <x:v>0.95342000000000005</x:v>
      </x:c>
      <x:c r="L82" s="2" t="s">
        <x:v>299</x:v>
      </x:c>
      <x:c r="M82" s="2">
        <x:v>1</x:v>
      </x:c>
      <x:c r="N82" s="2" t="s">
        <x:v>79</x:v>
      </x:c>
      <x:c r="O82" s="5">
        <x:v>54.6</x:v>
      </x:c>
      <x:c r="P82" s="2">
        <x:v>511</x:v>
      </x:c>
      <x:c r="Q82" s="2" t="n">
        <x:f>IF(OR(J82="positive",J82="negative"),1,0)</x:f>
        <x:v>1</x:v>
      </x:c>
    </x:row>
    <x:row r="83" ht="15">
      <x:c r="A83" s="2" t="s">
        <x:v>27</x:v>
      </x:c>
      <x:c r="B83" s="2" t="s">
        <x:v>105</x:v>
      </x:c>
      <x:c r="C83" s="2">
        <x:v>1</x:v>
      </x:c>
      <x:c r="D83" s="2" t="s">
        <x:v>300</x:v>
      </x:c>
      <x:c r="E83" s="2" t="s">
        <x:v>301</x:v>
      </x:c>
      <x:c r="F83" s="7">
        <x:v>0.10514</x:v>
      </x:c>
      <x:c r="G83" s="2" t="s">
        <x:v>302</x:v>
      </x:c>
      <x:c r="H83" s="8">
        <x:v>0.45</x:v>
      </x:c>
      <x:c r="I83" s="9" t="n">
        <x:f t="shared" si="1">IFERROR(ABS(F83)/H83,"")</x:f>
        <x:v>0.23364444444444443</x:v>
      </x:c>
      <x:c r="J83" s="2" t="s">
        <x:v>298</x:v>
      </x:c>
      <x:c r="K83" s="8">
        <x:v>0.94501999999999997</x:v>
      </x:c>
      <x:c r="L83" s="2" t="s">
        <x:v>299</x:v>
      </x:c>
      <x:c r="M83" s="2">
        <x:v>1</x:v>
      </x:c>
      <x:c r="N83" s="2" t="s">
        <x:v>79</x:v>
      </x:c>
      <x:c r="O83" s="5">
        <x:v>54.6</x:v>
      </x:c>
      <x:c r="P83" s="2">
        <x:v>511</x:v>
      </x:c>
      <x:c r="Q83" s="2" t="n">
        <x:f>IF(OR(J83="positive",J83="negative"),1,0)</x:f>
        <x:v>1</x:v>
      </x:c>
    </x:row>
    <x:row r="84" ht="15">
      <x:c r="A84" s="2" t="s">
        <x:v>27</x:v>
      </x:c>
      <x:c r="B84" s="2" t="s">
        <x:v>105</x:v>
      </x:c>
      <x:c r="C84" s="2">
        <x:v>1</x:v>
      </x:c>
      <x:c r="D84" s="2" t="s">
        <x:v>18</x:v>
      </x:c>
      <x:c r="E84" s="2" t="s">
        <x:v>303</x:v>
      </x:c>
      <x:c r="F84" s="7">
        <x:v>1.9019999999999999E-2</x:v>
      </x:c>
      <x:c r="G84" s="2" t="s">
        <x:v>304</x:v>
      </x:c>
      <x:c r="H84" s="8">
        <x:v>7.4999999999999997E-2</x:v>
      </x:c>
      <x:c r="I84" s="9" t="n">
        <x:f t="shared" si="1">IFERROR(ABS(F84)/H84,"")</x:f>
        <x:v>0.2536</x:v>
      </x:c>
      <x:c r="J84" s="2" t="s">
        <x:v>298</x:v>
      </x:c>
      <x:c r="K84" s="8">
        <x:v>0.93815999999999999</x:v>
      </x:c>
      <x:c r="L84" s="2" t="s">
        <x:v>299</x:v>
      </x:c>
      <x:c r="M84" s="2">
        <x:v>1</x:v>
      </x:c>
      <x:c r="N84" s="2" t="s">
        <x:v>79</x:v>
      </x:c>
      <x:c r="O84" s="5">
        <x:v>54.6</x:v>
      </x:c>
      <x:c r="P84" s="2">
        <x:v>511</x:v>
      </x:c>
      <x:c r="Q84" s="2" t="n">
        <x:f>IF(OR(J84="positive",J84="negative"),1,0)</x:f>
        <x:v>1</x:v>
      </x:c>
    </x:row>
    <x:row r="85" ht="15">
      <x:c r="A85" s="2" t="s">
        <x:v>27</x:v>
      </x:c>
      <x:c r="B85" s="2" t="s">
        <x:v>105</x:v>
      </x:c>
      <x:c r="C85" s="2">
        <x:v>1</x:v>
      </x:c>
      <x:c r="D85" s="2" t="s">
        <x:v>305</x:v>
      </x:c>
      <x:c r="E85" s="2" t="s">
        <x:v>306</x:v>
      </x:c>
      <x:c r="F85" s="7">
        <x:v>-4.2209999999999998E-2</x:v>
      </x:c>
      <x:c r="G85" s="2" t="s">
        <x:v>304</x:v>
      </x:c>
      <x:c r="H85" s="8">
        <x:v>0.3</x:v>
      </x:c>
      <x:c r="I85" s="9" t="n">
        <x:f t="shared" si="1">IFERROR(ABS(F85)/H85,"")</x:f>
        <x:v>0.1407</x:v>
      </x:c>
      <x:c r="J85" s="2" t="s">
        <x:v>298</x:v>
      </x:c>
      <x:c r="K85" s="8">
        <x:v>0.92762</x:v>
      </x:c>
      <x:c r="L85" s="2" t="s">
        <x:v>299</x:v>
      </x:c>
      <x:c r="M85" s="2">
        <x:v>1</x:v>
      </x:c>
      <x:c r="N85" s="2" t="s">
        <x:v>79</x:v>
      </x:c>
      <x:c r="O85" s="5">
        <x:v>54.6</x:v>
      </x:c>
      <x:c r="P85" s="2">
        <x:v>511</x:v>
      </x:c>
      <x:c r="Q85" s="2" t="n">
        <x:f>IF(OR(J85="positive",J85="negative"),1,0)</x:f>
        <x:v>1</x:v>
      </x:c>
    </x:row>
    <x:row r="86" ht="15">
      <x:c r="A86" s="2" t="s">
        <x:v>27</x:v>
      </x:c>
      <x:c r="B86" s="2" t="s">
        <x:v>106</x:v>
      </x:c>
      <x:c r="C86" s="2">
        <x:v>2</x:v>
      </x:c>
      <x:c r="D86" s="2" t="s">
        <x:v>295</x:v>
      </x:c>
      <x:c r="E86" s="2" t="s">
        <x:v>296</x:v>
      </x:c>
      <x:c r="F86" s="7">
        <x:v>0.42630000000000001</x:v>
      </x:c>
      <x:c r="G86" s="2" t="s">
        <x:v>297</x:v>
      </x:c>
      <x:c r="H86" s="8">
        <x:v>3.5</x:v>
      </x:c>
      <x:c r="I86" s="9" t="n">
        <x:f t="shared" si="1">IFERROR(ABS(F86)/H86,"")</x:f>
        <x:v>0.1218</x:v>
      </x:c>
      <x:c r="J86" s="2" t="s">
        <x:v>298</x:v>
      </x:c>
      <x:c r="K86" s="8">
        <x:v>0.96018000000000003</x:v>
      </x:c>
      <x:c r="L86" s="2" t="s">
        <x:v>299</x:v>
      </x:c>
      <x:c r="M86" s="2">
        <x:v>1</x:v>
      </x:c>
      <x:c r="N86" s="2" t="s">
        <x:v>79</x:v>
      </x:c>
      <x:c r="O86" s="5">
        <x:v>61.3</x:v>
      </x:c>
      <x:c r="P86" s="2">
        <x:v>419</x:v>
      </x:c>
      <x:c r="Q86" s="2" t="n">
        <x:f>IF(OR(J86="positive",J86="negative"),1,0)</x:f>
        <x:v>1</x:v>
      </x:c>
    </x:row>
    <x:row r="87" ht="15">
      <x:c r="A87" s="2" t="s">
        <x:v>27</x:v>
      </x:c>
      <x:c r="B87" s="2" t="s">
        <x:v>106</x:v>
      </x:c>
      <x:c r="C87" s="2">
        <x:v>2</x:v>
      </x:c>
      <x:c r="D87" s="2" t="s">
        <x:v>300</x:v>
      </x:c>
      <x:c r="E87" s="2" t="s">
        <x:v>301</x:v>
      </x:c>
      <x:c r="F87" s="7">
        <x:v>0.11093</x:v>
      </x:c>
      <x:c r="G87" s="2" t="s">
        <x:v>302</x:v>
      </x:c>
      <x:c r="H87" s="8">
        <x:v>0.45</x:v>
      </x:c>
      <x:c r="I87" s="9" t="n">
        <x:f t="shared" si="1">IFERROR(ABS(F87)/H87,"")</x:f>
        <x:v>0.2465111111111111</x:v>
      </x:c>
      <x:c r="J87" s="2" t="s">
        <x:v>298</x:v>
      </x:c>
      <x:c r="K87" s="8">
        <x:v>0.93730999999999998</x:v>
      </x:c>
      <x:c r="L87" s="2" t="s">
        <x:v>299</x:v>
      </x:c>
      <x:c r="M87" s="2">
        <x:v>1</x:v>
      </x:c>
      <x:c r="N87" s="2" t="s">
        <x:v>79</x:v>
      </x:c>
      <x:c r="O87" s="5">
        <x:v>61.3</x:v>
      </x:c>
      <x:c r="P87" s="2">
        <x:v>419</x:v>
      </x:c>
      <x:c r="Q87" s="2" t="n">
        <x:f>IF(OR(J87="positive",J87="negative"),1,0)</x:f>
        <x:v>1</x:v>
      </x:c>
    </x:row>
    <x:row r="88" ht="15">
      <x:c r="A88" s="2" t="s">
        <x:v>27</x:v>
      </x:c>
      <x:c r="B88" s="2" t="s">
        <x:v>106</x:v>
      </x:c>
      <x:c r="C88" s="2">
        <x:v>2</x:v>
      </x:c>
      <x:c r="D88" s="2" t="s">
        <x:v>18</x:v>
      </x:c>
      <x:c r="E88" s="2" t="s">
        <x:v>303</x:v>
      </x:c>
      <x:c r="F88" s="7">
        <x:v>3.14E-3</x:v>
      </x:c>
      <x:c r="G88" s="2" t="s">
        <x:v>304</x:v>
      </x:c>
      <x:c r="H88" s="8">
        <x:v>7.4999999999999997E-2</x:v>
      </x:c>
      <x:c r="I88" s="9" t="n">
        <x:f t="shared" si="1">IFERROR(ABS(F88)/H88,"")</x:f>
        <x:v>0.04186666666666667</x:v>
      </x:c>
      <x:c r="J88" s="2" t="s">
        <x:v>298</x:v>
      </x:c>
      <x:c r="K88" s="8">
        <x:v>0.90405000000000002</x:v>
      </x:c>
      <x:c r="L88" s="2" t="s">
        <x:v>299</x:v>
      </x:c>
      <x:c r="M88" s="2">
        <x:v>1</x:v>
      </x:c>
      <x:c r="N88" s="2" t="s">
        <x:v>79</x:v>
      </x:c>
      <x:c r="O88" s="5">
        <x:v>61.3</x:v>
      </x:c>
      <x:c r="P88" s="2">
        <x:v>419</x:v>
      </x:c>
      <x:c r="Q88" s="2" t="n">
        <x:f>IF(OR(J88="positive",J88="negative"),1,0)</x:f>
        <x:v>1</x:v>
      </x:c>
    </x:row>
    <x:row r="89" ht="15">
      <x:c r="A89" s="2" t="s">
        <x:v>27</x:v>
      </x:c>
      <x:c r="B89" s="2" t="s">
        <x:v>106</x:v>
      </x:c>
      <x:c r="C89" s="2">
        <x:v>2</x:v>
      </x:c>
      <x:c r="D89" s="2" t="s">
        <x:v>305</x:v>
      </x:c>
      <x:c r="E89" s="2" t="s">
        <x:v>306</x:v>
      </x:c>
      <x:c r="F89" s="7">
        <x:v>1.2279999999999999E-2</x:v>
      </x:c>
      <x:c r="G89" s="2" t="s">
        <x:v>304</x:v>
      </x:c>
      <x:c r="H89" s="8">
        <x:v>0.3</x:v>
      </x:c>
      <x:c r="I89" s="9" t="n">
        <x:f t="shared" si="1">IFERROR(ABS(F89)/H89,"")</x:f>
        <x:v>0.040933333333333335</x:v>
      </x:c>
      <x:c r="J89" s="2" t="s">
        <x:v>298</x:v>
      </x:c>
      <x:c r="K89" s="8">
        <x:v>0.90854999999999997</x:v>
      </x:c>
      <x:c r="L89" s="2" t="s">
        <x:v>299</x:v>
      </x:c>
      <x:c r="M89" s="2">
        <x:v>1</x:v>
      </x:c>
      <x:c r="N89" s="2" t="s">
        <x:v>79</x:v>
      </x:c>
      <x:c r="O89" s="5">
        <x:v>61.3</x:v>
      </x:c>
      <x:c r="P89" s="2">
        <x:v>419</x:v>
      </x:c>
      <x:c r="Q89" s="2" t="n">
        <x:f>IF(OR(J89="positive",J89="negative"),1,0)</x:f>
        <x:v>1</x:v>
      </x:c>
    </x:row>
    <x:row r="90" ht="15">
      <x:c r="A90" s="2" t="s">
        <x:v>27</x:v>
      </x:c>
      <x:c r="B90" s="2" t="s">
        <x:v>107</x:v>
      </x:c>
      <x:c r="C90" s="2">
        <x:v>3</x:v>
      </x:c>
      <x:c r="D90" s="2" t="s">
        <x:v>295</x:v>
      </x:c>
      <x:c r="E90" s="2" t="s">
        <x:v>296</x:v>
      </x:c>
      <x:c r="F90" s="7">
        <x:v>3.78</x:v>
      </x:c>
      <x:c r="G90" s="2" t="s">
        <x:v>297</x:v>
      </x:c>
      <x:c r="H90" s="8">
        <x:v>3.5</x:v>
      </x:c>
      <x:c r="I90" s="9" t="n">
        <x:f t="shared" si="1">IFERROR(ABS(F90)/H90,"")</x:f>
        <x:v>1.0799999999999998</x:v>
      </x:c>
      <x:c r="J90" s="2" t="s">
        <x:v>310</x:v>
      </x:c>
      <x:c r="K90" s="8">
        <x:v>0.93215999999999999</x:v>
      </x:c>
      <x:c r="L90" s="2" t="s">
        <x:v>311</x:v>
      </x:c>
      <x:c r="M90" s="2">
        <x:v>1</x:v>
      </x:c>
      <x:c r="N90" s="2" t="s">
        <x:v>79</x:v>
      </x:c>
      <x:c r="O90" s="5">
        <x:v>62.1</x:v>
      </x:c>
      <x:c r="P90" s="2">
        <x:v>441</x:v>
      </x:c>
      <x:c r="Q90" s="2" t="n">
        <x:f>IF(OR(J90="positive",J90="negative"),1,0)</x:f>
        <x:v>1</x:v>
      </x:c>
    </x:row>
    <x:row r="91" ht="15">
      <x:c r="A91" s="2" t="s">
        <x:v>27</x:v>
      </x:c>
      <x:c r="B91" s="2" t="s">
        <x:v>107</x:v>
      </x:c>
      <x:c r="C91" s="2">
        <x:v>3</x:v>
      </x:c>
      <x:c r="D91" s="2" t="s">
        <x:v>300</x:v>
      </x:c>
      <x:c r="E91" s="2" t="s">
        <x:v>301</x:v>
      </x:c>
      <x:c r="F91" s="7">
        <x:v>9.7650000000000001E-2</x:v>
      </x:c>
      <x:c r="G91" s="2" t="s">
        <x:v>302</x:v>
      </x:c>
      <x:c r="H91" s="8">
        <x:v>0.45</x:v>
      </x:c>
      <x:c r="I91" s="9" t="n">
        <x:f t="shared" si="1">IFERROR(ABS(F91)/H91,"")</x:f>
        <x:v>0.217</x:v>
      </x:c>
      <x:c r="J91" s="2" t="s">
        <x:v>298</x:v>
      </x:c>
      <x:c r="K91" s="8">
        <x:v>0.96021000000000001</x:v>
      </x:c>
      <x:c r="L91" s="2" t="s">
        <x:v>299</x:v>
      </x:c>
      <x:c r="M91" s="2">
        <x:v>1</x:v>
      </x:c>
      <x:c r="N91" s="2" t="s">
        <x:v>79</x:v>
      </x:c>
      <x:c r="O91" s="5">
        <x:v>62.1</x:v>
      </x:c>
      <x:c r="P91" s="2">
        <x:v>441</x:v>
      </x:c>
      <x:c r="Q91" s="2" t="n">
        <x:f>IF(OR(J91="positive",J91="negative"),1,0)</x:f>
        <x:v>1</x:v>
      </x:c>
    </x:row>
    <x:row r="92" ht="15">
      <x:c r="A92" s="2" t="s">
        <x:v>27</x:v>
      </x:c>
      <x:c r="B92" s="2" t="s">
        <x:v>107</x:v>
      </x:c>
      <x:c r="C92" s="2">
        <x:v>3</x:v>
      </x:c>
      <x:c r="D92" s="2" t="s">
        <x:v>18</x:v>
      </x:c>
      <x:c r="E92" s="2" t="s">
        <x:v>303</x:v>
      </x:c>
      <x:c r="F92" s="7">
        <x:v>1.1039999999999999E-2</x:v>
      </x:c>
      <x:c r="G92" s="2" t="s">
        <x:v>304</x:v>
      </x:c>
      <x:c r="H92" s="8">
        <x:v>7.4999999999999997E-2</x:v>
      </x:c>
      <x:c r="I92" s="9" t="n">
        <x:f t="shared" si="1">IFERROR(ABS(F92)/H92,"")</x:f>
        <x:v>0.1472</x:v>
      </x:c>
      <x:c r="J92" s="2" t="s">
        <x:v>298</x:v>
      </x:c>
      <x:c r="K92" s="8">
        <x:v>0.92515999999999998</x:v>
      </x:c>
      <x:c r="L92" s="2" t="s">
        <x:v>299</x:v>
      </x:c>
      <x:c r="M92" s="2">
        <x:v>1</x:v>
      </x:c>
      <x:c r="N92" s="2" t="s">
        <x:v>79</x:v>
      </x:c>
      <x:c r="O92" s="5">
        <x:v>62.1</x:v>
      </x:c>
      <x:c r="P92" s="2">
        <x:v>441</x:v>
      </x:c>
      <x:c r="Q92" s="2" t="n">
        <x:f>IF(OR(J92="positive",J92="negative"),1,0)</x:f>
        <x:v>1</x:v>
      </x:c>
    </x:row>
    <x:row r="93" ht="15">
      <x:c r="A93" s="2" t="s">
        <x:v>27</x:v>
      </x:c>
      <x:c r="B93" s="2" t="s">
        <x:v>107</x:v>
      </x:c>
      <x:c r="C93" s="2">
        <x:v>3</x:v>
      </x:c>
      <x:c r="D93" s="2" t="s">
        <x:v>305</x:v>
      </x:c>
      <x:c r="E93" s="2" t="s">
        <x:v>306</x:v>
      </x:c>
      <x:c r="F93" s="7">
        <x:v>-8.7799999999999996E-3</x:v>
      </x:c>
      <x:c r="G93" s="2" t="s">
        <x:v>304</x:v>
      </x:c>
      <x:c r="H93" s="8">
        <x:v>0.3</x:v>
      </x:c>
      <x:c r="I93" s="9" t="n">
        <x:f t="shared" si="1">IFERROR(ABS(F93)/H93,"")</x:f>
        <x:v>0.029266666666666667</x:v>
      </x:c>
      <x:c r="J93" s="2" t="s">
        <x:v>298</x:v>
      </x:c>
      <x:c r="K93" s="8">
        <x:v>0.95318999999999998</x:v>
      </x:c>
      <x:c r="L93" s="2" t="s">
        <x:v>299</x:v>
      </x:c>
      <x:c r="M93" s="2">
        <x:v>1</x:v>
      </x:c>
      <x:c r="N93" s="2" t="s">
        <x:v>79</x:v>
      </x:c>
      <x:c r="O93" s="5">
        <x:v>62.1</x:v>
      </x:c>
      <x:c r="P93" s="2">
        <x:v>441</x:v>
      </x:c>
      <x:c r="Q93" s="2" t="n">
        <x:f>IF(OR(J93="positive",J93="negative"),1,0)</x:f>
        <x:v>1</x:v>
      </x:c>
    </x:row>
    <x:row r="94" ht="15">
      <x:c r="A94" s="2" t="s">
        <x:v>27</x:v>
      </x:c>
      <x:c r="B94" s="2" t="s">
        <x:v>108</x:v>
      </x:c>
      <x:c r="C94" s="2">
        <x:v>4</x:v>
      </x:c>
      <x:c r="D94" s="2" t="s">
        <x:v>295</x:v>
      </x:c>
      <x:c r="E94" s="2" t="s">
        <x:v>296</x:v>
      </x:c>
      <x:c r="F94" s="7">
        <x:v>0.56130000000000002</x:v>
      </x:c>
      <x:c r="G94" s="2" t="s">
        <x:v>297</x:v>
      </x:c>
      <x:c r="H94" s="8">
        <x:v>3.5</x:v>
      </x:c>
      <x:c r="I94" s="9" t="n">
        <x:f t="shared" si="1">IFERROR(ABS(F94)/H94,"")</x:f>
        <x:v>0.16037142857142858</x:v>
      </x:c>
      <x:c r="J94" s="2" t="s">
        <x:v>298</x:v>
      </x:c>
      <x:c r="K94" s="8">
        <x:v>0.94403000000000004</x:v>
      </x:c>
      <x:c r="L94" s="2" t="s">
        <x:v>299</x:v>
      </x:c>
      <x:c r="M94" s="2">
        <x:v>1</x:v>
      </x:c>
      <x:c r="N94" s="2" t="s">
        <x:v>79</x:v>
      </x:c>
      <x:c r="O94" s="5">
        <x:v>58.3</x:v>
      </x:c>
      <x:c r="P94" s="2">
        <x:v>372</x:v>
      </x:c>
      <x:c r="Q94" s="2" t="n">
        <x:f>IF(OR(J94="positive",J94="negative"),1,0)</x:f>
        <x:v>1</x:v>
      </x:c>
    </x:row>
    <x:row r="95" ht="15">
      <x:c r="A95" s="2" t="s">
        <x:v>27</x:v>
      </x:c>
      <x:c r="B95" s="2" t="s">
        <x:v>108</x:v>
      </x:c>
      <x:c r="C95" s="2">
        <x:v>4</x:v>
      </x:c>
      <x:c r="D95" s="2" t="s">
        <x:v>300</x:v>
      </x:c>
      <x:c r="E95" s="2" t="s">
        <x:v>301</x:v>
      </x:c>
      <x:c r="F95" s="7">
        <x:v>0.12737000000000001</x:v>
      </x:c>
      <x:c r="G95" s="2" t="s">
        <x:v>302</x:v>
      </x:c>
      <x:c r="H95" s="8">
        <x:v>0.45</x:v>
      </x:c>
      <x:c r="I95" s="9" t="n">
        <x:f t="shared" si="1">IFERROR(ABS(F95)/H95,"")</x:f>
        <x:v>0.2830444444444445</x:v>
      </x:c>
      <x:c r="J95" s="2" t="s">
        <x:v>298</x:v>
      </x:c>
      <x:c r="K95" s="8">
        <x:v>0.91991000000000001</x:v>
      </x:c>
      <x:c r="L95" s="2" t="s">
        <x:v>299</x:v>
      </x:c>
      <x:c r="M95" s="2">
        <x:v>1</x:v>
      </x:c>
      <x:c r="N95" s="2" t="s">
        <x:v>79</x:v>
      </x:c>
      <x:c r="O95" s="5">
        <x:v>58.3</x:v>
      </x:c>
      <x:c r="P95" s="2">
        <x:v>372</x:v>
      </x:c>
      <x:c r="Q95" s="2" t="n">
        <x:f>IF(OR(J95="positive",J95="negative"),1,0)</x:f>
        <x:v>1</x:v>
      </x:c>
    </x:row>
    <x:row r="96" ht="15">
      <x:c r="A96" s="2" t="s">
        <x:v>27</x:v>
      </x:c>
      <x:c r="B96" s="2" t="s">
        <x:v>108</x:v>
      </x:c>
      <x:c r="C96" s="2">
        <x:v>4</x:v>
      </x:c>
      <x:c r="D96" s="2" t="s">
        <x:v>18</x:v>
      </x:c>
      <x:c r="E96" s="2" t="s">
        <x:v>303</x:v>
      </x:c>
      <x:c r="F96" s="7">
        <x:v>1.243E-2</x:v>
      </x:c>
      <x:c r="G96" s="2" t="s">
        <x:v>304</x:v>
      </x:c>
      <x:c r="H96" s="8">
        <x:v>7.4999999999999997E-2</x:v>
      </x:c>
      <x:c r="I96" s="9" t="n">
        <x:f t="shared" si="1">IFERROR(ABS(F96)/H96,"")</x:f>
        <x:v>0.16573333333333334</x:v>
      </x:c>
      <x:c r="J96" s="2" t="s">
        <x:v>298</x:v>
      </x:c>
      <x:c r="K96" s="8">
        <x:v>0.93010999999999999</x:v>
      </x:c>
      <x:c r="L96" s="2" t="s">
        <x:v>299</x:v>
      </x:c>
      <x:c r="M96" s="2">
        <x:v>1</x:v>
      </x:c>
      <x:c r="N96" s="2" t="s">
        <x:v>79</x:v>
      </x:c>
      <x:c r="O96" s="5">
        <x:v>58.3</x:v>
      </x:c>
      <x:c r="P96" s="2">
        <x:v>372</x:v>
      </x:c>
      <x:c r="Q96" s="2" t="n">
        <x:f>IF(OR(J96="positive",J96="negative"),1,0)</x:f>
        <x:v>1</x:v>
      </x:c>
    </x:row>
    <x:row r="97" ht="15">
      <x:c r="A97" s="2" t="s">
        <x:v>27</x:v>
      </x:c>
      <x:c r="B97" s="2" t="s">
        <x:v>108</x:v>
      </x:c>
      <x:c r="C97" s="2">
        <x:v>4</x:v>
      </x:c>
      <x:c r="D97" s="2" t="s">
        <x:v>305</x:v>
      </x:c>
      <x:c r="E97" s="2" t="s">
        <x:v>306</x:v>
      </x:c>
      <x:c r="F97" s="7">
        <x:v>-1.7090000000000001E-2</x:v>
      </x:c>
      <x:c r="G97" s="2" t="s">
        <x:v>304</x:v>
      </x:c>
      <x:c r="H97" s="8">
        <x:v>0.3</x:v>
      </x:c>
      <x:c r="I97" s="9" t="n">
        <x:f t="shared" si="1">IFERROR(ABS(F97)/H97,"")</x:f>
        <x:v>0.05696666666666667</x:v>
      </x:c>
      <x:c r="J97" s="2" t="s">
        <x:v>298</x:v>
      </x:c>
      <x:c r="K97" s="8">
        <x:v>0.95421</x:v>
      </x:c>
      <x:c r="L97" s="2" t="s">
        <x:v>299</x:v>
      </x:c>
      <x:c r="M97" s="2">
        <x:v>1</x:v>
      </x:c>
      <x:c r="N97" s="2" t="s">
        <x:v>79</x:v>
      </x:c>
      <x:c r="O97" s="5">
        <x:v>58.3</x:v>
      </x:c>
      <x:c r="P97" s="2">
        <x:v>372</x:v>
      </x:c>
      <x:c r="Q97" s="2" t="n">
        <x:f>IF(OR(J97="positive",J97="negative"),1,0)</x:f>
        <x:v>1</x:v>
      </x:c>
    </x:row>
    <x:row r="98" ht="15">
      <x:c r="A98" s="2" t="s">
        <x:v>27</x:v>
      </x:c>
      <x:c r="B98" s="2" t="s">
        <x:v>109</x:v>
      </x:c>
      <x:c r="C98" s="2">
        <x:v>5</x:v>
      </x:c>
      <x:c r="D98" s="2" t="s">
        <x:v>295</x:v>
      </x:c>
      <x:c r="E98" s="2" t="s">
        <x:v>296</x:v>
      </x:c>
      <x:c r="F98" s="7">
        <x:v>0.22377</x:v>
      </x:c>
      <x:c r="G98" s="2" t="s">
        <x:v>297</x:v>
      </x:c>
      <x:c r="H98" s="8">
        <x:v>3.5</x:v>
      </x:c>
      <x:c r="I98" s="9" t="n">
        <x:f t="shared" si="1">IFERROR(ABS(F98)/H98,"")</x:f>
        <x:v>0.06393428571428571</x:v>
      </x:c>
      <x:c r="J98" s="2" t="s">
        <x:v>298</x:v>
      </x:c>
      <x:c r="K98" s="8">
        <x:v>0.95587999999999995</x:v>
      </x:c>
      <x:c r="L98" s="2" t="s">
        <x:v>299</x:v>
      </x:c>
      <x:c r="M98" s="2">
        <x:v>1</x:v>
      </x:c>
      <x:c r="N98" s="2" t="s">
        <x:v>79</x:v>
      </x:c>
      <x:c r="O98" s="5">
        <x:v>55.1</x:v>
      </x:c>
      <x:c r="P98" s="2">
        <x:v>435</x:v>
      </x:c>
      <x:c r="Q98" s="2" t="n">
        <x:f>IF(OR(J98="positive",J98="negative"),1,0)</x:f>
        <x:v>1</x:v>
      </x:c>
    </x:row>
    <x:row r="99" ht="15">
      <x:c r="A99" s="2" t="s">
        <x:v>27</x:v>
      </x:c>
      <x:c r="B99" s="2" t="s">
        <x:v>109</x:v>
      </x:c>
      <x:c r="C99" s="2">
        <x:v>5</x:v>
      </x:c>
      <x:c r="D99" s="2" t="s">
        <x:v>300</x:v>
      </x:c>
      <x:c r="E99" s="2" t="s">
        <x:v>301</x:v>
      </x:c>
      <x:c r="F99" s="7">
        <x:v>0.10397000000000001</x:v>
      </x:c>
      <x:c r="G99" s="2" t="s">
        <x:v>302</x:v>
      </x:c>
      <x:c r="H99" s="8">
        <x:v>0.45</x:v>
      </x:c>
      <x:c r="I99" s="9" t="n">
        <x:f t="shared" si="1">IFERROR(ABS(F99)/H99,"")</x:f>
        <x:v>0.23104444444444444</x:v>
      </x:c>
      <x:c r="J99" s="2" t="s">
        <x:v>298</x:v>
      </x:c>
      <x:c r="K99" s="8">
        <x:v>0.92796999999999996</x:v>
      </x:c>
      <x:c r="L99" s="2" t="s">
        <x:v>299</x:v>
      </x:c>
      <x:c r="M99" s="2">
        <x:v>1</x:v>
      </x:c>
      <x:c r="N99" s="2" t="s">
        <x:v>79</x:v>
      </x:c>
      <x:c r="O99" s="5">
        <x:v>55.1</x:v>
      </x:c>
      <x:c r="P99" s="2">
        <x:v>435</x:v>
      </x:c>
      <x:c r="Q99" s="2" t="n">
        <x:f>IF(OR(J99="positive",J99="negative"),1,0)</x:f>
        <x:v>1</x:v>
      </x:c>
    </x:row>
    <x:row r="100" ht="15">
      <x:c r="A100" s="2" t="s">
        <x:v>27</x:v>
      </x:c>
      <x:c r="B100" s="2" t="s">
        <x:v>109</x:v>
      </x:c>
      <x:c r="C100" s="2">
        <x:v>5</x:v>
      </x:c>
      <x:c r="D100" s="2" t="s">
        <x:v>18</x:v>
      </x:c>
      <x:c r="E100" s="2" t="s">
        <x:v>303</x:v>
      </x:c>
      <x:c r="F100" s="7">
        <x:v>1.6930000000000001E-2</x:v>
      </x:c>
      <x:c r="G100" s="2" t="s">
        <x:v>304</x:v>
      </x:c>
      <x:c r="H100" s="8">
        <x:v>7.4999999999999997E-2</x:v>
      </x:c>
      <x:c r="I100" s="9" t="n">
        <x:f t="shared" si="1">IFERROR(ABS(F100)/H100,"")</x:f>
        <x:v>0.22573333333333334</x:v>
      </x:c>
      <x:c r="J100" s="2" t="s">
        <x:v>298</x:v>
      </x:c>
      <x:c r="K100" s="8">
        <x:v>0.93349000000000004</x:v>
      </x:c>
      <x:c r="L100" s="2" t="s">
        <x:v>299</x:v>
      </x:c>
      <x:c r="M100" s="2">
        <x:v>1</x:v>
      </x:c>
      <x:c r="N100" s="2" t="s">
        <x:v>79</x:v>
      </x:c>
      <x:c r="O100" s="5">
        <x:v>55.1</x:v>
      </x:c>
      <x:c r="P100" s="2">
        <x:v>435</x:v>
      </x:c>
      <x:c r="Q100" s="2" t="n">
        <x:f>IF(OR(J100="positive",J100="negative"),1,0)</x:f>
        <x:v>1</x:v>
      </x:c>
    </x:row>
    <x:row r="101" ht="15">
      <x:c r="A101" s="2" t="s">
        <x:v>27</x:v>
      </x:c>
      <x:c r="B101" s="2" t="s">
        <x:v>109</x:v>
      </x:c>
      <x:c r="C101" s="2">
        <x:v>5</x:v>
      </x:c>
      <x:c r="D101" s="2" t="s">
        <x:v>305</x:v>
      </x:c>
      <x:c r="E101" s="2" t="s">
        <x:v>306</x:v>
      </x:c>
      <x:c r="F101" s="7">
        <x:v>-2.1590000000000002E-2</x:v>
      </x:c>
      <x:c r="G101" s="2" t="s">
        <x:v>304</x:v>
      </x:c>
      <x:c r="H101" s="8">
        <x:v>0.3</x:v>
      </x:c>
      <x:c r="I101" s="9" t="n">
        <x:f t="shared" si="1">IFERROR(ABS(F101)/H101,"")</x:f>
        <x:v>0.07196666666666668</x:v>
      </x:c>
      <x:c r="J101" s="2" t="s">
        <x:v>298</x:v>
      </x:c>
      <x:c r="K101" s="8">
        <x:v>0.96953</x:v>
      </x:c>
      <x:c r="L101" s="2" t="s">
        <x:v>299</x:v>
      </x:c>
      <x:c r="M101" s="2">
        <x:v>1</x:v>
      </x:c>
      <x:c r="N101" s="2" t="s">
        <x:v>79</x:v>
      </x:c>
      <x:c r="O101" s="5">
        <x:v>55.1</x:v>
      </x:c>
      <x:c r="P101" s="2">
        <x:v>435</x:v>
      </x:c>
      <x:c r="Q101" s="2" t="n">
        <x:f>IF(OR(J101="positive",J101="negative"),1,0)</x:f>
        <x:v>1</x:v>
      </x:c>
    </x:row>
    <x:row r="102" ht="15">
      <x:c r="A102" s="2" t="s">
        <x:v>28</x:v>
      </x:c>
      <x:c r="B102" s="2" t="s">
        <x:v>110</x:v>
      </x:c>
      <x:c r="C102" s="2">
        <x:v>1</x:v>
      </x:c>
      <x:c r="D102" s="2" t="s">
        <x:v>295</x:v>
      </x:c>
      <x:c r="E102" s="2" t="s">
        <x:v>296</x:v>
      </x:c>
      <x:c r="F102" s="7">
        <x:v>0.36094999999999999</x:v>
      </x:c>
      <x:c r="G102" s="2" t="s">
        <x:v>297</x:v>
      </x:c>
      <x:c r="H102" s="8">
        <x:v>3.5</x:v>
      </x:c>
      <x:c r="I102" s="9" t="n">
        <x:f t="shared" si="1">IFERROR(ABS(F102)/H102,"")</x:f>
        <x:v>0.10312857142857143</x:v>
      </x:c>
      <x:c r="J102" s="2" t="s">
        <x:v>298</x:v>
      </x:c>
      <x:c r="K102" s="8">
        <x:v>0.93667</x:v>
      </x:c>
      <x:c r="L102" s="2" t="s">
        <x:v>299</x:v>
      </x:c>
      <x:c r="M102" s="2">
        <x:v>1</x:v>
      </x:c>
      <x:c r="N102" s="2" t="s">
        <x:v>79</x:v>
      </x:c>
      <x:c r="O102" s="5">
        <x:v>58.4</x:v>
      </x:c>
      <x:c r="P102" s="2">
        <x:v>376</x:v>
      </x:c>
      <x:c r="Q102" s="2" t="n">
        <x:f>IF(OR(J102="positive",J102="negative"),1,0)</x:f>
        <x:v>1</x:v>
      </x:c>
    </x:row>
    <x:row r="103" ht="15">
      <x:c r="A103" s="2" t="s">
        <x:v>28</x:v>
      </x:c>
      <x:c r="B103" s="2" t="s">
        <x:v>110</x:v>
      </x:c>
      <x:c r="C103" s="2">
        <x:v>1</x:v>
      </x:c>
      <x:c r="D103" s="2" t="s">
        <x:v>300</x:v>
      </x:c>
      <x:c r="E103" s="2" t="s">
        <x:v>301</x:v>
      </x:c>
      <x:c r="F103" s="7">
        <x:v>9.7129999999999994E-2</x:v>
      </x:c>
      <x:c r="G103" s="2" t="s">
        <x:v>302</x:v>
      </x:c>
      <x:c r="H103" s="8">
        <x:v>0.45</x:v>
      </x:c>
      <x:c r="I103" s="9" t="n">
        <x:f t="shared" si="1">IFERROR(ABS(F103)/H103,"")</x:f>
        <x:v>0.21584444444444442</x:v>
      </x:c>
      <x:c r="J103" s="2" t="s">
        <x:v>298</x:v>
      </x:c>
      <x:c r="K103" s="8">
        <x:v>0.95330999999999999</x:v>
      </x:c>
      <x:c r="L103" s="2" t="s">
        <x:v>299</x:v>
      </x:c>
      <x:c r="M103" s="2">
        <x:v>1</x:v>
      </x:c>
      <x:c r="N103" s="2" t="s">
        <x:v>79</x:v>
      </x:c>
      <x:c r="O103" s="5">
        <x:v>58.4</x:v>
      </x:c>
      <x:c r="P103" s="2">
        <x:v>376</x:v>
      </x:c>
      <x:c r="Q103" s="2" t="n">
        <x:f>IF(OR(J103="positive",J103="negative"),1,0)</x:f>
        <x:v>1</x:v>
      </x:c>
    </x:row>
    <x:row r="104" ht="15">
      <x:c r="A104" s="2" t="s">
        <x:v>28</x:v>
      </x:c>
      <x:c r="B104" s="2" t="s">
        <x:v>110</x:v>
      </x:c>
      <x:c r="C104" s="2">
        <x:v>1</x:v>
      </x:c>
      <x:c r="D104" s="2" t="s">
        <x:v>18</x:v>
      </x:c>
      <x:c r="E104" s="2" t="s">
        <x:v>303</x:v>
      </x:c>
      <x:c r="F104" s="7">
        <x:v>1.41E-2</x:v>
      </x:c>
      <x:c r="G104" s="2" t="s">
        <x:v>304</x:v>
      </x:c>
      <x:c r="H104" s="8">
        <x:v>7.4999999999999997E-2</x:v>
      </x:c>
      <x:c r="I104" s="9" t="n">
        <x:f t="shared" si="1">IFERROR(ABS(F104)/H104,"")</x:f>
        <x:v>0.188</x:v>
      </x:c>
      <x:c r="J104" s="2" t="s">
        <x:v>298</x:v>
      </x:c>
      <x:c r="K104" s="8">
        <x:v>0.94798000000000004</x:v>
      </x:c>
      <x:c r="L104" s="2" t="s">
        <x:v>299</x:v>
      </x:c>
      <x:c r="M104" s="2">
        <x:v>1</x:v>
      </x:c>
      <x:c r="N104" s="2" t="s">
        <x:v>79</x:v>
      </x:c>
      <x:c r="O104" s="5">
        <x:v>58.4</x:v>
      </x:c>
      <x:c r="P104" s="2">
        <x:v>376</x:v>
      </x:c>
      <x:c r="Q104" s="2" t="n">
        <x:f>IF(OR(J104="positive",J104="negative"),1,0)</x:f>
        <x:v>1</x:v>
      </x:c>
    </x:row>
    <x:row r="105" ht="15">
      <x:c r="A105" s="2" t="s">
        <x:v>28</x:v>
      </x:c>
      <x:c r="B105" s="2" t="s">
        <x:v>110</x:v>
      </x:c>
      <x:c r="C105" s="2">
        <x:v>1</x:v>
      </x:c>
      <x:c r="D105" s="2" t="s">
        <x:v>305</x:v>
      </x:c>
      <x:c r="E105" s="2" t="s">
        <x:v>306</x:v>
      </x:c>
      <x:c r="F105" s="7">
        <x:v>2.7050000000000001E-2</x:v>
      </x:c>
      <x:c r="G105" s="2" t="s">
        <x:v>304</x:v>
      </x:c>
      <x:c r="H105" s="8">
        <x:v>0.3</x:v>
      </x:c>
      <x:c r="I105" s="9" t="n">
        <x:f t="shared" si="1">IFERROR(ABS(F105)/H105,"")</x:f>
        <x:v>0.09016666666666667</x:v>
      </x:c>
      <x:c r="J105" s="2" t="s">
        <x:v>298</x:v>
      </x:c>
      <x:c r="K105" s="8">
        <x:v>0.92996999999999996</x:v>
      </x:c>
      <x:c r="L105" s="2" t="s">
        <x:v>299</x:v>
      </x:c>
      <x:c r="M105" s="2">
        <x:v>1</x:v>
      </x:c>
      <x:c r="N105" s="2" t="s">
        <x:v>79</x:v>
      </x:c>
      <x:c r="O105" s="5">
        <x:v>58.4</x:v>
      </x:c>
      <x:c r="P105" s="2">
        <x:v>376</x:v>
      </x:c>
      <x:c r="Q105" s="2" t="n">
        <x:f>IF(OR(J105="positive",J105="negative"),1,0)</x:f>
        <x:v>1</x:v>
      </x:c>
    </x:row>
    <x:row r="106" ht="15">
      <x:c r="A106" s="2" t="s">
        <x:v>28</x:v>
      </x:c>
      <x:c r="B106" s="2" t="s">
        <x:v>111</x:v>
      </x:c>
      <x:c r="C106" s="2">
        <x:v>2</x:v>
      </x:c>
      <x:c r="D106" s="2" t="s">
        <x:v>295</x:v>
      </x:c>
      <x:c r="E106" s="2" t="s">
        <x:v>296</x:v>
      </x:c>
      <x:c r="F106" s="7">
        <x:v>0.49453999999999998</x:v>
      </x:c>
      <x:c r="G106" s="2" t="s">
        <x:v>297</x:v>
      </x:c>
      <x:c r="H106" s="8">
        <x:v>3.5</x:v>
      </x:c>
      <x:c r="I106" s="9" t="n">
        <x:f t="shared" si="1">IFERROR(ABS(F106)/H106,"")</x:f>
        <x:v>0.14129714285714284</x:v>
      </x:c>
      <x:c r="J106" s="2" t="s">
        <x:v>298</x:v>
      </x:c>
      <x:c r="K106" s="8">
        <x:v>0.97774000000000005</x:v>
      </x:c>
      <x:c r="L106" s="2" t="s">
        <x:v>299</x:v>
      </x:c>
      <x:c r="M106" s="2">
        <x:v>1</x:v>
      </x:c>
      <x:c r="N106" s="2" t="s">
        <x:v>79</x:v>
      </x:c>
      <x:c r="O106" s="5">
        <x:v>55.4</x:v>
      </x:c>
      <x:c r="P106" s="2">
        <x:v>357</x:v>
      </x:c>
      <x:c r="Q106" s="2" t="n">
        <x:f>IF(OR(J106="positive",J106="negative"),1,0)</x:f>
        <x:v>1</x:v>
      </x:c>
    </x:row>
    <x:row r="107" ht="15">
      <x:c r="A107" s="2" t="s">
        <x:v>28</x:v>
      </x:c>
      <x:c r="B107" s="2" t="s">
        <x:v>111</x:v>
      </x:c>
      <x:c r="C107" s="2">
        <x:v>2</x:v>
      </x:c>
      <x:c r="D107" s="2" t="s">
        <x:v>300</x:v>
      </x:c>
      <x:c r="E107" s="2" t="s">
        <x:v>301</x:v>
      </x:c>
      <x:c r="F107" s="7">
        <x:v>0.10449</x:v>
      </x:c>
      <x:c r="G107" s="2" t="s">
        <x:v>302</x:v>
      </x:c>
      <x:c r="H107" s="8">
        <x:v>0.45</x:v>
      </x:c>
      <x:c r="I107" s="9" t="n">
        <x:f t="shared" si="1">IFERROR(ABS(F107)/H107,"")</x:f>
        <x:v>0.2322</x:v>
      </x:c>
      <x:c r="J107" s="2" t="s">
        <x:v>298</x:v>
      </x:c>
      <x:c r="K107" s="8">
        <x:v>0.91481999999999997</x:v>
      </x:c>
      <x:c r="L107" s="2" t="s">
        <x:v>299</x:v>
      </x:c>
      <x:c r="M107" s="2">
        <x:v>1</x:v>
      </x:c>
      <x:c r="N107" s="2" t="s">
        <x:v>79</x:v>
      </x:c>
      <x:c r="O107" s="5">
        <x:v>55.4</x:v>
      </x:c>
      <x:c r="P107" s="2">
        <x:v>357</x:v>
      </x:c>
      <x:c r="Q107" s="2" t="n">
        <x:f>IF(OR(J107="positive",J107="negative"),1,0)</x:f>
        <x:v>1</x:v>
      </x:c>
    </x:row>
    <x:row r="108" ht="15">
      <x:c r="A108" s="2" t="s">
        <x:v>28</x:v>
      </x:c>
      <x:c r="B108" s="2" t="s">
        <x:v>111</x:v>
      </x:c>
      <x:c r="C108" s="2">
        <x:v>2</x:v>
      </x:c>
      <x:c r="D108" s="2" t="s">
        <x:v>18</x:v>
      </x:c>
      <x:c r="E108" s="2" t="s">
        <x:v>303</x:v>
      </x:c>
      <x:c r="F108" s="7">
        <x:v>2.3709999999999998E-2</x:v>
      </x:c>
      <x:c r="G108" s="2" t="s">
        <x:v>304</x:v>
      </x:c>
      <x:c r="H108" s="8">
        <x:v>7.4999999999999997E-2</x:v>
      </x:c>
      <x:c r="I108" s="9" t="n">
        <x:f t="shared" si="1">IFERROR(ABS(F108)/H108,"")</x:f>
        <x:v>0.3161333333333333</x:v>
      </x:c>
      <x:c r="J108" s="2" t="s">
        <x:v>298</x:v>
      </x:c>
      <x:c r="K108" s="8">
        <x:v>0.93725000000000003</x:v>
      </x:c>
      <x:c r="L108" s="2" t="s">
        <x:v>299</x:v>
      </x:c>
      <x:c r="M108" s="2">
        <x:v>1</x:v>
      </x:c>
      <x:c r="N108" s="2" t="s">
        <x:v>79</x:v>
      </x:c>
      <x:c r="O108" s="5">
        <x:v>55.4</x:v>
      </x:c>
      <x:c r="P108" s="2">
        <x:v>357</x:v>
      </x:c>
      <x:c r="Q108" s="2" t="n">
        <x:f>IF(OR(J108="positive",J108="negative"),1,0)</x:f>
        <x:v>1</x:v>
      </x:c>
    </x:row>
    <x:row r="109" ht="15">
      <x:c r="A109" s="2" t="s">
        <x:v>28</x:v>
      </x:c>
      <x:c r="B109" s="2" t="s">
        <x:v>111</x:v>
      </x:c>
      <x:c r="C109" s="2">
        <x:v>2</x:v>
      </x:c>
      <x:c r="D109" s="2" t="s">
        <x:v>305</x:v>
      </x:c>
      <x:c r="E109" s="2" t="s">
        <x:v>306</x:v>
      </x:c>
      <x:c r="F109" s="7">
        <x:v>2.376E-2</x:v>
      </x:c>
      <x:c r="G109" s="2" t="s">
        <x:v>304</x:v>
      </x:c>
      <x:c r="H109" s="8">
        <x:v>0.3</x:v>
      </x:c>
      <x:c r="I109" s="9" t="n">
        <x:f t="shared" si="1">IFERROR(ABS(F109)/H109,"")</x:f>
        <x:v>0.0792</x:v>
      </x:c>
      <x:c r="J109" s="2" t="s">
        <x:v>298</x:v>
      </x:c>
      <x:c r="K109" s="8">
        <x:v>0.94111</x:v>
      </x:c>
      <x:c r="L109" s="2" t="s">
        <x:v>299</x:v>
      </x:c>
      <x:c r="M109" s="2">
        <x:v>1</x:v>
      </x:c>
      <x:c r="N109" s="2" t="s">
        <x:v>79</x:v>
      </x:c>
      <x:c r="O109" s="5">
        <x:v>55.4</x:v>
      </x:c>
      <x:c r="P109" s="2">
        <x:v>357</x:v>
      </x:c>
      <x:c r="Q109" s="2" t="n">
        <x:f>IF(OR(J109="positive",J109="negative"),1,0)</x:f>
        <x:v>1</x:v>
      </x:c>
    </x:row>
    <x:row r="110" ht="15">
      <x:c r="A110" s="2" t="s">
        <x:v>28</x:v>
      </x:c>
      <x:c r="B110" s="2" t="s">
        <x:v>112</x:v>
      </x:c>
      <x:c r="C110" s="2">
        <x:v>3</x:v>
      </x:c>
      <x:c r="D110" s="2" t="s">
        <x:v>295</x:v>
      </x:c>
      <x:c r="E110" s="2" t="s">
        <x:v>296</x:v>
      </x:c>
      <x:c r="F110" s="7">
        <x:v>0.39579999999999999</x:v>
      </x:c>
      <x:c r="G110" s="2" t="s">
        <x:v>297</x:v>
      </x:c>
      <x:c r="H110" s="8">
        <x:v>3.5</x:v>
      </x:c>
      <x:c r="I110" s="9" t="n">
        <x:f t="shared" si="1">IFERROR(ABS(F110)/H110,"")</x:f>
        <x:v>0.11308571428571428</x:v>
      </x:c>
      <x:c r="J110" s="2" t="s">
        <x:v>298</x:v>
      </x:c>
      <x:c r="K110" s="8">
        <x:v>0.92591999999999997</x:v>
      </x:c>
      <x:c r="L110" s="2" t="s">
        <x:v>299</x:v>
      </x:c>
      <x:c r="M110" s="2">
        <x:v>1</x:v>
      </x:c>
      <x:c r="N110" s="2" t="s">
        <x:v>79</x:v>
      </x:c>
      <x:c r="O110" s="5">
        <x:v>57.1</x:v>
      </x:c>
      <x:c r="P110" s="2">
        <x:v>398</x:v>
      </x:c>
      <x:c r="Q110" s="2" t="n">
        <x:f>IF(OR(J110="positive",J110="negative"),1,0)</x:f>
        <x:v>1</x:v>
      </x:c>
    </x:row>
    <x:row r="111" ht="15">
      <x:c r="A111" s="2" t="s">
        <x:v>28</x:v>
      </x:c>
      <x:c r="B111" s="2" t="s">
        <x:v>112</x:v>
      </x:c>
      <x:c r="C111" s="2">
        <x:v>3</x:v>
      </x:c>
      <x:c r="D111" s="2" t="s">
        <x:v>300</x:v>
      </x:c>
      <x:c r="E111" s="2" t="s">
        <x:v>301</x:v>
      </x:c>
      <x:c r="F111" s="7">
        <x:v>0.12828000000000001</x:v>
      </x:c>
      <x:c r="G111" s="2" t="s">
        <x:v>302</x:v>
      </x:c>
      <x:c r="H111" s="8">
        <x:v>0.45</x:v>
      </x:c>
      <x:c r="I111" s="9" t="n">
        <x:f t="shared" si="1">IFERROR(ABS(F111)/H111,"")</x:f>
        <x:v>0.2850666666666667</x:v>
      </x:c>
      <x:c r="J111" s="2" t="s">
        <x:v>298</x:v>
      </x:c>
      <x:c r="K111" s="8">
        <x:v>0.97021000000000002</x:v>
      </x:c>
      <x:c r="L111" s="2" t="s">
        <x:v>299</x:v>
      </x:c>
      <x:c r="M111" s="2">
        <x:v>1</x:v>
      </x:c>
      <x:c r="N111" s="2" t="s">
        <x:v>79</x:v>
      </x:c>
      <x:c r="O111" s="5">
        <x:v>57.1</x:v>
      </x:c>
      <x:c r="P111" s="2">
        <x:v>398</x:v>
      </x:c>
      <x:c r="Q111" s="2" t="n">
        <x:f>IF(OR(J111="positive",J111="negative"),1,0)</x:f>
        <x:v>1</x:v>
      </x:c>
    </x:row>
    <x:row r="112" ht="15">
      <x:c r="A112" s="2" t="s">
        <x:v>28</x:v>
      </x:c>
      <x:c r="B112" s="2" t="s">
        <x:v>112</x:v>
      </x:c>
      <x:c r="C112" s="2">
        <x:v>3</x:v>
      </x:c>
      <x:c r="D112" s="2" t="s">
        <x:v>18</x:v>
      </x:c>
      <x:c r="E112" s="2" t="s">
        <x:v>303</x:v>
      </x:c>
      <x:c r="F112" s="7">
        <x:v>1.2200000000000001E-2</x:v>
      </x:c>
      <x:c r="G112" s="2" t="s">
        <x:v>304</x:v>
      </x:c>
      <x:c r="H112" s="8">
        <x:v>7.4999999999999997E-2</x:v>
      </x:c>
      <x:c r="I112" s="9" t="n">
        <x:f t="shared" si="1">IFERROR(ABS(F112)/H112,"")</x:f>
        <x:v>0.16266666666666668</x:v>
      </x:c>
      <x:c r="J112" s="2" t="s">
        <x:v>298</x:v>
      </x:c>
      <x:c r="K112" s="8">
        <x:v>0.93020000000000003</x:v>
      </x:c>
      <x:c r="L112" s="2" t="s">
        <x:v>299</x:v>
      </x:c>
      <x:c r="M112" s="2">
        <x:v>1</x:v>
      </x:c>
      <x:c r="N112" s="2" t="s">
        <x:v>79</x:v>
      </x:c>
      <x:c r="O112" s="5">
        <x:v>57.1</x:v>
      </x:c>
      <x:c r="P112" s="2">
        <x:v>398</x:v>
      </x:c>
      <x:c r="Q112" s="2" t="n">
        <x:f>IF(OR(J112="positive",J112="negative"),1,0)</x:f>
        <x:v>1</x:v>
      </x:c>
    </x:row>
    <x:row r="113" ht="15">
      <x:c r="A113" s="2" t="s">
        <x:v>28</x:v>
      </x:c>
      <x:c r="B113" s="2" t="s">
        <x:v>112</x:v>
      </x:c>
      <x:c r="C113" s="2">
        <x:v>3</x:v>
      </x:c>
      <x:c r="D113" s="2" t="s">
        <x:v>305</x:v>
      </x:c>
      <x:c r="E113" s="2" t="s">
        <x:v>306</x:v>
      </x:c>
      <x:c r="F113" s="7">
        <x:v>5.11E-2</x:v>
      </x:c>
      <x:c r="G113" s="2" t="s">
        <x:v>304</x:v>
      </x:c>
      <x:c r="H113" s="8">
        <x:v>0.3</x:v>
      </x:c>
      <x:c r="I113" s="9" t="n">
        <x:f t="shared" si="1">IFERROR(ABS(F113)/H113,"")</x:f>
        <x:v>0.17033333333333334</x:v>
      </x:c>
      <x:c r="J113" s="2" t="s">
        <x:v>298</x:v>
      </x:c>
      <x:c r="K113" s="8">
        <x:v>0.95082</x:v>
      </x:c>
      <x:c r="L113" s="2" t="s">
        <x:v>299</x:v>
      </x:c>
      <x:c r="M113" s="2">
        <x:v>1</x:v>
      </x:c>
      <x:c r="N113" s="2" t="s">
        <x:v>79</x:v>
      </x:c>
      <x:c r="O113" s="5">
        <x:v>57.1</x:v>
      </x:c>
      <x:c r="P113" s="2">
        <x:v>398</x:v>
      </x:c>
      <x:c r="Q113" s="2" t="n">
        <x:f>IF(OR(J113="positive",J113="negative"),1,0)</x:f>
        <x:v>1</x:v>
      </x:c>
    </x:row>
    <x:row r="114" ht="15">
      <x:c r="A114" s="2" t="s">
        <x:v>28</x:v>
      </x:c>
      <x:c r="B114" s="2" t="s">
        <x:v>113</x:v>
      </x:c>
      <x:c r="C114" s="2">
        <x:v>4</x:v>
      </x:c>
      <x:c r="D114" s="2" t="s">
        <x:v>295</x:v>
      </x:c>
      <x:c r="E114" s="2" t="s">
        <x:v>296</x:v>
      </x:c>
      <x:c r="F114" s="7">
        <x:v>0.10137</x:v>
      </x:c>
      <x:c r="G114" s="2" t="s">
        <x:v>297</x:v>
      </x:c>
      <x:c r="H114" s="8">
        <x:v>3.5</x:v>
      </x:c>
      <x:c r="I114" s="9" t="n">
        <x:f t="shared" si="1">IFERROR(ABS(F114)/H114,"")</x:f>
        <x:v>0.028962857142857144</x:v>
      </x:c>
      <x:c r="J114" s="2" t="s">
        <x:v>298</x:v>
      </x:c>
      <x:c r="K114" s="8">
        <x:v>0.93110000000000004</x:v>
      </x:c>
      <x:c r="L114" s="2" t="s">
        <x:v>299</x:v>
      </x:c>
      <x:c r="M114" s="2">
        <x:v>1</x:v>
      </x:c>
      <x:c r="N114" s="2" t="s">
        <x:v>79</x:v>
      </x:c>
      <x:c r="O114" s="5">
        <x:v>55.5</x:v>
      </x:c>
      <x:c r="P114" s="2">
        <x:v>291</x:v>
      </x:c>
      <x:c r="Q114" s="2" t="n">
        <x:f>IF(OR(J114="positive",J114="negative"),1,0)</x:f>
        <x:v>1</x:v>
      </x:c>
    </x:row>
    <x:row r="115" ht="15">
      <x:c r="A115" s="2" t="s">
        <x:v>28</x:v>
      </x:c>
      <x:c r="B115" s="2" t="s">
        <x:v>113</x:v>
      </x:c>
      <x:c r="C115" s="2">
        <x:v>4</x:v>
      </x:c>
      <x:c r="D115" s="2" t="s">
        <x:v>300</x:v>
      </x:c>
      <x:c r="E115" s="2" t="s">
        <x:v>301</x:v>
      </x:c>
      <x:c r="F115" s="7">
        <x:v>8.8400000000000006E-2</x:v>
      </x:c>
      <x:c r="G115" s="2" t="s">
        <x:v>302</x:v>
      </x:c>
      <x:c r="H115" s="8">
        <x:v>0.45</x:v>
      </x:c>
      <x:c r="I115" s="9" t="n">
        <x:f t="shared" si="1">IFERROR(ABS(F115)/H115,"")</x:f>
        <x:v>0.19644444444444445</x:v>
      </x:c>
      <x:c r="J115" s="2" t="s">
        <x:v>298</x:v>
      </x:c>
      <x:c r="K115" s="8">
        <x:v>0.93081000000000003</x:v>
      </x:c>
      <x:c r="L115" s="2" t="s">
        <x:v>299</x:v>
      </x:c>
      <x:c r="M115" s="2">
        <x:v>1</x:v>
      </x:c>
      <x:c r="N115" s="2" t="s">
        <x:v>79</x:v>
      </x:c>
      <x:c r="O115" s="5">
        <x:v>55.5</x:v>
      </x:c>
      <x:c r="P115" s="2">
        <x:v>291</x:v>
      </x:c>
      <x:c r="Q115" s="2" t="n">
        <x:f>IF(OR(J115="positive",J115="negative"),1,0)</x:f>
        <x:v>1</x:v>
      </x:c>
    </x:row>
    <x:row r="116" ht="15">
      <x:c r="A116" s="2" t="s">
        <x:v>28</x:v>
      </x:c>
      <x:c r="B116" s="2" t="s">
        <x:v>113</x:v>
      </x:c>
      <x:c r="C116" s="2">
        <x:v>4</x:v>
      </x:c>
      <x:c r="D116" s="2" t="s">
        <x:v>18</x:v>
      </x:c>
      <x:c r="E116" s="2" t="s">
        <x:v>303</x:v>
      </x:c>
      <x:c r="F116" s="7">
        <x:v>1.108E-2</x:v>
      </x:c>
      <x:c r="G116" s="2" t="s">
        <x:v>304</x:v>
      </x:c>
      <x:c r="H116" s="8">
        <x:v>7.4999999999999997E-2</x:v>
      </x:c>
      <x:c r="I116" s="9" t="n">
        <x:f t="shared" si="1">IFERROR(ABS(F116)/H116,"")</x:f>
        <x:v>0.14773333333333333</x:v>
      </x:c>
      <x:c r="J116" s="2" t="s">
        <x:v>298</x:v>
      </x:c>
      <x:c r="K116" s="8">
        <x:v>0.90197000000000005</x:v>
      </x:c>
      <x:c r="L116" s="2" t="s">
        <x:v>299</x:v>
      </x:c>
      <x:c r="M116" s="2">
        <x:v>1</x:v>
      </x:c>
      <x:c r="N116" s="2" t="s">
        <x:v>79</x:v>
      </x:c>
      <x:c r="O116" s="5">
        <x:v>55.5</x:v>
      </x:c>
      <x:c r="P116" s="2">
        <x:v>291</x:v>
      </x:c>
      <x:c r="Q116" s="2" t="n">
        <x:f>IF(OR(J116="positive",J116="negative"),1,0)</x:f>
        <x:v>1</x:v>
      </x:c>
    </x:row>
    <x:row r="117" ht="15">
      <x:c r="A117" s="2" t="s">
        <x:v>28</x:v>
      </x:c>
      <x:c r="B117" s="2" t="s">
        <x:v>113</x:v>
      </x:c>
      <x:c r="C117" s="2">
        <x:v>4</x:v>
      </x:c>
      <x:c r="D117" s="2" t="s">
        <x:v>305</x:v>
      </x:c>
      <x:c r="E117" s="2" t="s">
        <x:v>306</x:v>
      </x:c>
      <x:c r="F117" s="7">
        <x:v>2.8850000000000001E-2</x:v>
      </x:c>
      <x:c r="G117" s="2" t="s">
        <x:v>304</x:v>
      </x:c>
      <x:c r="H117" s="8">
        <x:v>0.3</x:v>
      </x:c>
      <x:c r="I117" s="9" t="n">
        <x:f t="shared" si="1">IFERROR(ABS(F117)/H117,"")</x:f>
        <x:v>0.09616666666666668</x:v>
      </x:c>
      <x:c r="J117" s="2" t="s">
        <x:v>298</x:v>
      </x:c>
      <x:c r="K117" s="8">
        <x:v>0.93162999999999996</x:v>
      </x:c>
      <x:c r="L117" s="2" t="s">
        <x:v>299</x:v>
      </x:c>
      <x:c r="M117" s="2">
        <x:v>1</x:v>
      </x:c>
      <x:c r="N117" s="2" t="s">
        <x:v>79</x:v>
      </x:c>
      <x:c r="O117" s="5">
        <x:v>55.5</x:v>
      </x:c>
      <x:c r="P117" s="2">
        <x:v>291</x:v>
      </x:c>
      <x:c r="Q117" s="2" t="n">
        <x:f>IF(OR(J117="positive",J117="negative"),1,0)</x:f>
        <x:v>1</x:v>
      </x:c>
    </x:row>
    <x:row r="118" ht="15">
      <x:c r="A118" s="2" t="s">
        <x:v>28</x:v>
      </x:c>
      <x:c r="B118" s="2" t="s">
        <x:v>114</x:v>
      </x:c>
      <x:c r="C118" s="2">
        <x:v>5</x:v>
      </x:c>
      <x:c r="D118" s="2" t="s">
        <x:v>295</x:v>
      </x:c>
      <x:c r="E118" s="2" t="s">
        <x:v>296</x:v>
      </x:c>
      <x:c r="F118" s="7">
        <x:v>0.53940999999999995</x:v>
      </x:c>
      <x:c r="G118" s="2" t="s">
        <x:v>297</x:v>
      </x:c>
      <x:c r="H118" s="8">
        <x:v>3.5</x:v>
      </x:c>
      <x:c r="I118" s="9" t="n">
        <x:f t="shared" si="1">IFERROR(ABS(F118)/H118,"")</x:f>
        <x:v>0.15411714285714284</x:v>
      </x:c>
      <x:c r="J118" s="2" t="s">
        <x:v>298</x:v>
      </x:c>
      <x:c r="K118" s="8">
        <x:v>0.96838000000000002</x:v>
      </x:c>
      <x:c r="L118" s="2" t="s">
        <x:v>299</x:v>
      </x:c>
      <x:c r="M118" s="2">
        <x:v>1</x:v>
      </x:c>
      <x:c r="N118" s="2" t="s">
        <x:v>79</x:v>
      </x:c>
      <x:c r="O118" s="5">
        <x:v>57.8</x:v>
      </x:c>
      <x:c r="P118" s="2">
        <x:v>287</x:v>
      </x:c>
      <x:c r="Q118" s="2" t="n">
        <x:f>IF(OR(J118="positive",J118="negative"),1,0)</x:f>
        <x:v>1</x:v>
      </x:c>
    </x:row>
    <x:row r="119" ht="15">
      <x:c r="A119" s="2" t="s">
        <x:v>28</x:v>
      </x:c>
      <x:c r="B119" s="2" t="s">
        <x:v>114</x:v>
      </x:c>
      <x:c r="C119" s="2">
        <x:v>5</x:v>
      </x:c>
      <x:c r="D119" s="2" t="s">
        <x:v>300</x:v>
      </x:c>
      <x:c r="E119" s="2" t="s">
        <x:v>301</x:v>
      </x:c>
      <x:c r="F119" s="7">
        <x:v>9.2280000000000001E-2</x:v>
      </x:c>
      <x:c r="G119" s="2" t="s">
        <x:v>302</x:v>
      </x:c>
      <x:c r="H119" s="8">
        <x:v>0.45</x:v>
      </x:c>
      <x:c r="I119" s="9" t="n">
        <x:f t="shared" si="1">IFERROR(ABS(F119)/H119,"")</x:f>
        <x:v>0.20506666666666667</x:v>
      </x:c>
      <x:c r="J119" s="2" t="s">
        <x:v>298</x:v>
      </x:c>
      <x:c r="K119" s="8">
        <x:v>0.96792</x:v>
      </x:c>
      <x:c r="L119" s="2" t="s">
        <x:v>299</x:v>
      </x:c>
      <x:c r="M119" s="2">
        <x:v>1</x:v>
      </x:c>
      <x:c r="N119" s="2" t="s">
        <x:v>79</x:v>
      </x:c>
      <x:c r="O119" s="5">
        <x:v>57.8</x:v>
      </x:c>
      <x:c r="P119" s="2">
        <x:v>287</x:v>
      </x:c>
      <x:c r="Q119" s="2" t="n">
        <x:f>IF(OR(J119="positive",J119="negative"),1,0)</x:f>
        <x:v>1</x:v>
      </x:c>
    </x:row>
    <x:row r="120" ht="15">
      <x:c r="A120" s="2" t="s">
        <x:v>28</x:v>
      </x:c>
      <x:c r="B120" s="2" t="s">
        <x:v>114</x:v>
      </x:c>
      <x:c r="C120" s="2">
        <x:v>5</x:v>
      </x:c>
      <x:c r="D120" s="2" t="s">
        <x:v>18</x:v>
      </x:c>
      <x:c r="E120" s="2" t="s">
        <x:v>303</x:v>
      </x:c>
      <x:c r="F120" s="7">
        <x:v>1.108E-2</x:v>
      </x:c>
      <x:c r="G120" s="2" t="s">
        <x:v>304</x:v>
      </x:c>
      <x:c r="H120" s="8">
        <x:v>7.4999999999999997E-2</x:v>
      </x:c>
      <x:c r="I120" s="9" t="n">
        <x:f t="shared" si="1">IFERROR(ABS(F120)/H120,"")</x:f>
        <x:v>0.14773333333333333</x:v>
      </x:c>
      <x:c r="J120" s="2" t="s">
        <x:v>298</x:v>
      </x:c>
      <x:c r="K120" s="8">
        <x:v>0.95811999999999997</x:v>
      </x:c>
      <x:c r="L120" s="2" t="s">
        <x:v>299</x:v>
      </x:c>
      <x:c r="M120" s="2">
        <x:v>1</x:v>
      </x:c>
      <x:c r="N120" s="2" t="s">
        <x:v>79</x:v>
      </x:c>
      <x:c r="O120" s="5">
        <x:v>57.8</x:v>
      </x:c>
      <x:c r="P120" s="2">
        <x:v>287</x:v>
      </x:c>
      <x:c r="Q120" s="2" t="n">
        <x:f>IF(OR(J120="positive",J120="negative"),1,0)</x:f>
        <x:v>1</x:v>
      </x:c>
    </x:row>
    <x:row r="121" ht="15">
      <x:c r="A121" s="2" t="s">
        <x:v>28</x:v>
      </x:c>
      <x:c r="B121" s="2" t="s">
        <x:v>114</x:v>
      </x:c>
      <x:c r="C121" s="2">
        <x:v>5</x:v>
      </x:c>
      <x:c r="D121" s="2" t="s">
        <x:v>305</x:v>
      </x:c>
      <x:c r="E121" s="2" t="s">
        <x:v>306</x:v>
      </x:c>
      <x:c r="F121" s="7">
        <x:v>2.6849999999999999E-2</x:v>
      </x:c>
      <x:c r="G121" s="2" t="s">
        <x:v>304</x:v>
      </x:c>
      <x:c r="H121" s="8">
        <x:v>0.3</x:v>
      </x:c>
      <x:c r="I121" s="9" t="n">
        <x:f t="shared" si="1">IFERROR(ABS(F121)/H121,"")</x:f>
        <x:v>0.0895</x:v>
      </x:c>
      <x:c r="J121" s="2" t="s">
        <x:v>298</x:v>
      </x:c>
      <x:c r="K121" s="8">
        <x:v>0.94025999999999998</x:v>
      </x:c>
      <x:c r="L121" s="2" t="s">
        <x:v>299</x:v>
      </x:c>
      <x:c r="M121" s="2">
        <x:v>1</x:v>
      </x:c>
      <x:c r="N121" s="2" t="s">
        <x:v>79</x:v>
      </x:c>
      <x:c r="O121" s="5">
        <x:v>57.8</x:v>
      </x:c>
      <x:c r="P121" s="2">
        <x:v>287</x:v>
      </x:c>
      <x:c r="Q121" s="2" t="n">
        <x:f>IF(OR(J121="positive",J121="negative"),1,0)</x:f>
        <x:v>1</x:v>
      </x:c>
    </x:row>
    <x:row r="122" ht="15">
      <x:c r="A122" s="2" t="s">
        <x:v>29</x:v>
      </x:c>
      <x:c r="B122" s="2" t="s">
        <x:v>115</x:v>
      </x:c>
      <x:c r="C122" s="2">
        <x:v>1</x:v>
      </x:c>
      <x:c r="D122" s="2" t="s">
        <x:v>295</x:v>
      </x:c>
      <x:c r="E122" s="2" t="s">
        <x:v>296</x:v>
      </x:c>
      <x:c r="F122" s="7">
        <x:v>0.25291999999999998</x:v>
      </x:c>
      <x:c r="G122" s="2" t="s">
        <x:v>297</x:v>
      </x:c>
      <x:c r="H122" s="8">
        <x:v>3.5</x:v>
      </x:c>
      <x:c r="I122" s="9" t="n">
        <x:f t="shared" si="1">IFERROR(ABS(F122)/H122,"")</x:f>
        <x:v>0.07226285714285714</x:v>
      </x:c>
      <x:c r="J122" s="2" t="s">
        <x:v>298</x:v>
      </x:c>
      <x:c r="K122" s="8">
        <x:v>0.97187000000000001</x:v>
      </x:c>
      <x:c r="L122" s="2" t="s">
        <x:v>299</x:v>
      </x:c>
      <x:c r="M122" s="2">
        <x:v>1</x:v>
      </x:c>
      <x:c r="N122" s="2" t="s">
        <x:v>79</x:v>
      </x:c>
      <x:c r="O122" s="5">
        <x:v>60.4</x:v>
      </x:c>
      <x:c r="P122" s="2">
        <x:v>304</x:v>
      </x:c>
      <x:c r="Q122" s="2" t="n">
        <x:f>IF(OR(J122="positive",J122="negative"),1,0)</x:f>
        <x:v>1</x:v>
      </x:c>
    </x:row>
    <x:row r="123" ht="15">
      <x:c r="A123" s="2" t="s">
        <x:v>29</x:v>
      </x:c>
      <x:c r="B123" s="2" t="s">
        <x:v>115</x:v>
      </x:c>
      <x:c r="C123" s="2">
        <x:v>1</x:v>
      </x:c>
      <x:c r="D123" s="2" t="s">
        <x:v>300</x:v>
      </x:c>
      <x:c r="E123" s="2" t="s">
        <x:v>301</x:v>
      </x:c>
      <x:c r="F123" s="7">
        <x:v>8.6459999999999995E-2</x:v>
      </x:c>
      <x:c r="G123" s="2" t="s">
        <x:v>302</x:v>
      </x:c>
      <x:c r="H123" s="8">
        <x:v>0.45</x:v>
      </x:c>
      <x:c r="I123" s="9" t="n">
        <x:f t="shared" si="1">IFERROR(ABS(F123)/H123,"")</x:f>
        <x:v>0.19213333333333332</x:v>
      </x:c>
      <x:c r="J123" s="2" t="s">
        <x:v>298</x:v>
      </x:c>
      <x:c r="K123" s="8">
        <x:v>0.93581999999999999</x:v>
      </x:c>
      <x:c r="L123" s="2" t="s">
        <x:v>299</x:v>
      </x:c>
      <x:c r="M123" s="2">
        <x:v>1</x:v>
      </x:c>
      <x:c r="N123" s="2" t="s">
        <x:v>79</x:v>
      </x:c>
      <x:c r="O123" s="5">
        <x:v>60.4</x:v>
      </x:c>
      <x:c r="P123" s="2">
        <x:v>304</x:v>
      </x:c>
      <x:c r="Q123" s="2" t="n">
        <x:f>IF(OR(J123="positive",J123="negative"),1,0)</x:f>
        <x:v>1</x:v>
      </x:c>
    </x:row>
    <x:row r="124" ht="15">
      <x:c r="A124" s="2" t="s">
        <x:v>29</x:v>
      </x:c>
      <x:c r="B124" s="2" t="s">
        <x:v>115</x:v>
      </x:c>
      <x:c r="C124" s="2">
        <x:v>1</x:v>
      </x:c>
      <x:c r="D124" s="2" t="s">
        <x:v>18</x:v>
      </x:c>
      <x:c r="E124" s="2" t="s">
        <x:v>303</x:v>
      </x:c>
      <x:c r="F124" s="7">
        <x:v>2.2159999999999999E-2</x:v>
      </x:c>
      <x:c r="G124" s="2" t="s">
        <x:v>304</x:v>
      </x:c>
      <x:c r="H124" s="8">
        <x:v>7.4999999999999997E-2</x:v>
      </x:c>
      <x:c r="I124" s="9" t="n">
        <x:f t="shared" si="1">IFERROR(ABS(F124)/H124,"")</x:f>
        <x:v>0.29546666666666666</x:v>
      </x:c>
      <x:c r="J124" s="2" t="s">
        <x:v>298</x:v>
      </x:c>
      <x:c r="K124" s="8">
        <x:v>0.92184999999999995</x:v>
      </x:c>
      <x:c r="L124" s="2" t="s">
        <x:v>299</x:v>
      </x:c>
      <x:c r="M124" s="2">
        <x:v>1</x:v>
      </x:c>
      <x:c r="N124" s="2" t="s">
        <x:v>79</x:v>
      </x:c>
      <x:c r="O124" s="5">
        <x:v>60.4</x:v>
      </x:c>
      <x:c r="P124" s="2">
        <x:v>304</x:v>
      </x:c>
      <x:c r="Q124" s="2" t="n">
        <x:f>IF(OR(J124="positive",J124="negative"),1,0)</x:f>
        <x:v>1</x:v>
      </x:c>
    </x:row>
    <x:row r="125" ht="15">
      <x:c r="A125" s="2" t="s">
        <x:v>29</x:v>
      </x:c>
      <x:c r="B125" s="2" t="s">
        <x:v>115</x:v>
      </x:c>
      <x:c r="C125" s="2">
        <x:v>1</x:v>
      </x:c>
      <x:c r="D125" s="2" t="s">
        <x:v>305</x:v>
      </x:c>
      <x:c r="E125" s="2" t="s">
        <x:v>306</x:v>
      </x:c>
      <x:c r="F125" s="7">
        <x:v>3.0300000000000001E-2</x:v>
      </x:c>
      <x:c r="G125" s="2" t="s">
        <x:v>304</x:v>
      </x:c>
      <x:c r="H125" s="8">
        <x:v>0.3</x:v>
      </x:c>
      <x:c r="I125" s="9" t="n">
        <x:f t="shared" si="1">IFERROR(ABS(F125)/H125,"")</x:f>
        <x:v>0.101</x:v>
      </x:c>
      <x:c r="J125" s="2" t="s">
        <x:v>298</x:v>
      </x:c>
      <x:c r="K125" s="8">
        <x:v>0.93767999999999996</x:v>
      </x:c>
      <x:c r="L125" s="2" t="s">
        <x:v>299</x:v>
      </x:c>
      <x:c r="M125" s="2">
        <x:v>1</x:v>
      </x:c>
      <x:c r="N125" s="2" t="s">
        <x:v>79</x:v>
      </x:c>
      <x:c r="O125" s="5">
        <x:v>60.4</x:v>
      </x:c>
      <x:c r="P125" s="2">
        <x:v>304</x:v>
      </x:c>
      <x:c r="Q125" s="2" t="n">
        <x:f>IF(OR(J125="positive",J125="negative"),1,0)</x:f>
        <x:v>1</x:v>
      </x:c>
    </x:row>
    <x:row r="126" ht="15">
      <x:c r="A126" s="2" t="s">
        <x:v>29</x:v>
      </x:c>
      <x:c r="B126" s="2" t="s">
        <x:v>116</x:v>
      </x:c>
      <x:c r="C126" s="2">
        <x:v>2</x:v>
      </x:c>
      <x:c r="D126" s="2" t="s">
        <x:v>295</x:v>
      </x:c>
      <x:c r="E126" s="2" t="s">
        <x:v>296</x:v>
      </x:c>
      <x:c r="F126" s="7">
        <x:v>0.51649</x:v>
      </x:c>
      <x:c r="G126" s="2" t="s">
        <x:v>297</x:v>
      </x:c>
      <x:c r="H126" s="8">
        <x:v>3.5</x:v>
      </x:c>
      <x:c r="I126" s="9" t="n">
        <x:f t="shared" si="1">IFERROR(ABS(F126)/H126,"")</x:f>
        <x:v>0.14756857142857144</x:v>
      </x:c>
      <x:c r="J126" s="2" t="s">
        <x:v>298</x:v>
      </x:c>
      <x:c r="K126" s="8">
        <x:v>0.93769999999999998</x:v>
      </x:c>
      <x:c r="L126" s="2" t="s">
        <x:v>299</x:v>
      </x:c>
      <x:c r="M126" s="2">
        <x:v>1</x:v>
      </x:c>
      <x:c r="N126" s="2" t="s">
        <x:v>79</x:v>
      </x:c>
      <x:c r="O126" s="5">
        <x:v>60.7</x:v>
      </x:c>
      <x:c r="P126" s="2">
        <x:v>564</x:v>
      </x:c>
      <x:c r="Q126" s="2" t="n">
        <x:f>IF(OR(J126="positive",J126="negative"),1,0)</x:f>
        <x:v>1</x:v>
      </x:c>
    </x:row>
    <x:row r="127" ht="15">
      <x:c r="A127" s="2" t="s">
        <x:v>29</x:v>
      </x:c>
      <x:c r="B127" s="2" t="s">
        <x:v>116</x:v>
      </x:c>
      <x:c r="C127" s="2">
        <x:v>2</x:v>
      </x:c>
      <x:c r="D127" s="2" t="s">
        <x:v>300</x:v>
      </x:c>
      <x:c r="E127" s="2" t="s">
        <x:v>301</x:v>
      </x:c>
      <x:c r="F127" s="7">
        <x:v>8.2059999999999994E-2</x:v>
      </x:c>
      <x:c r="G127" s="2" t="s">
        <x:v>302</x:v>
      </x:c>
      <x:c r="H127" s="8">
        <x:v>0.45</x:v>
      </x:c>
      <x:c r="I127" s="9" t="n">
        <x:f t="shared" si="1">IFERROR(ABS(F127)/H127,"")</x:f>
        <x:v>0.18235555555555555</x:v>
      </x:c>
      <x:c r="J127" s="2" t="s">
        <x:v>298</x:v>
      </x:c>
      <x:c r="K127" s="8">
        <x:v>0.97404999999999997</x:v>
      </x:c>
      <x:c r="L127" s="2" t="s">
        <x:v>299</x:v>
      </x:c>
      <x:c r="M127" s="2">
        <x:v>1</x:v>
      </x:c>
      <x:c r="N127" s="2" t="s">
        <x:v>79</x:v>
      </x:c>
      <x:c r="O127" s="5">
        <x:v>60.7</x:v>
      </x:c>
      <x:c r="P127" s="2">
        <x:v>564</x:v>
      </x:c>
      <x:c r="Q127" s="2" t="n">
        <x:f>IF(OR(J127="positive",J127="negative"),1,0)</x:f>
        <x:v>1</x:v>
      </x:c>
    </x:row>
    <x:row r="128" ht="15">
      <x:c r="A128" s="2" t="s">
        <x:v>29</x:v>
      </x:c>
      <x:c r="B128" s="2" t="s">
        <x:v>116</x:v>
      </x:c>
      <x:c r="C128" s="2">
        <x:v>2</x:v>
      </x:c>
      <x:c r="D128" s="2" t="s">
        <x:v>18</x:v>
      </x:c>
      <x:c r="E128" s="2" t="s">
        <x:v>303</x:v>
      </x:c>
      <x:c r="F128" s="7">
        <x:v>1.256E-2</x:v>
      </x:c>
      <x:c r="G128" s="2" t="s">
        <x:v>304</x:v>
      </x:c>
      <x:c r="H128" s="8">
        <x:v>7.4999999999999997E-2</x:v>
      </x:c>
      <x:c r="I128" s="9" t="n">
        <x:f t="shared" si="1">IFERROR(ABS(F128)/H128,"")</x:f>
        <x:v>0.16746666666666668</x:v>
      </x:c>
      <x:c r="J128" s="2" t="s">
        <x:v>298</x:v>
      </x:c>
      <x:c r="K128" s="8">
        <x:v>0.96574000000000004</x:v>
      </x:c>
      <x:c r="L128" s="2" t="s">
        <x:v>299</x:v>
      </x:c>
      <x:c r="M128" s="2">
        <x:v>1</x:v>
      </x:c>
      <x:c r="N128" s="2" t="s">
        <x:v>79</x:v>
      </x:c>
      <x:c r="O128" s="5">
        <x:v>60.7</x:v>
      </x:c>
      <x:c r="P128" s="2">
        <x:v>564</x:v>
      </x:c>
      <x:c r="Q128" s="2" t="n">
        <x:f>IF(OR(J128="positive",J128="negative"),1,0)</x:f>
        <x:v>1</x:v>
      </x:c>
    </x:row>
    <x:row r="129" ht="15">
      <x:c r="A129" s="2" t="s">
        <x:v>29</x:v>
      </x:c>
      <x:c r="B129" s="2" t="s">
        <x:v>116</x:v>
      </x:c>
      <x:c r="C129" s="2">
        <x:v>2</x:v>
      </x:c>
      <x:c r="D129" s="2" t="s">
        <x:v>305</x:v>
      </x:c>
      <x:c r="E129" s="2" t="s">
        <x:v>306</x:v>
      </x:c>
      <x:c r="F129" s="7">
        <x:v>3.5569999999999997E-2</x:v>
      </x:c>
      <x:c r="G129" s="2" t="s">
        <x:v>304</x:v>
      </x:c>
      <x:c r="H129" s="8">
        <x:v>0.3</x:v>
      </x:c>
      <x:c r="I129" s="9" t="n">
        <x:f t="shared" si="1">IFERROR(ABS(F129)/H129,"")</x:f>
        <x:v>0.11856666666666667</x:v>
      </x:c>
      <x:c r="J129" s="2" t="s">
        <x:v>298</x:v>
      </x:c>
      <x:c r="K129" s="8">
        <x:v>0.95055000000000001</x:v>
      </x:c>
      <x:c r="L129" s="2" t="s">
        <x:v>299</x:v>
      </x:c>
      <x:c r="M129" s="2">
        <x:v>1</x:v>
      </x:c>
      <x:c r="N129" s="2" t="s">
        <x:v>79</x:v>
      </x:c>
      <x:c r="O129" s="5">
        <x:v>60.7</x:v>
      </x:c>
      <x:c r="P129" s="2">
        <x:v>564</x:v>
      </x:c>
      <x:c r="Q129" s="2" t="n">
        <x:f>IF(OR(J129="positive",J129="negative"),1,0)</x:f>
        <x:v>1</x:v>
      </x:c>
    </x:row>
    <x:row r="130" ht="15">
      <x:c r="A130" s="2" t="s">
        <x:v>29</x:v>
      </x:c>
      <x:c r="B130" s="2" t="s">
        <x:v>117</x:v>
      </x:c>
      <x:c r="C130" s="2">
        <x:v>3</x:v>
      </x:c>
      <x:c r="D130" s="2" t="s">
        <x:v>295</x:v>
      </x:c>
      <x:c r="E130" s="2" t="s">
        <x:v>296</x:v>
      </x:c>
      <x:c r="F130" s="7">
        <x:v>0.33839000000000002</x:v>
      </x:c>
      <x:c r="G130" s="2" t="s">
        <x:v>297</x:v>
      </x:c>
      <x:c r="H130" s="8">
        <x:v>3.5</x:v>
      </x:c>
      <x:c r="I130" s="9" t="n">
        <x:f t="shared" ref="I130:I193" si="2">IFERROR(ABS(F130)/H130,"")</x:f>
        <x:v>0.09668285714285715</x:v>
      </x:c>
      <x:c r="J130" s="2" t="s">
        <x:v>298</x:v>
      </x:c>
      <x:c r="K130" s="8">
        <x:v>0.95977999999999997</x:v>
      </x:c>
      <x:c r="L130" s="2" t="s">
        <x:v>299</x:v>
      </x:c>
      <x:c r="M130" s="2">
        <x:v>1</x:v>
      </x:c>
      <x:c r="N130" s="2" t="s">
        <x:v>79</x:v>
      </x:c>
      <x:c r="O130" s="5">
        <x:v>58.3</x:v>
      </x:c>
      <x:c r="P130" s="2">
        <x:v>384</x:v>
      </x:c>
      <x:c r="Q130" s="2" t="n">
        <x:f>IF(OR(J130="positive",J130="negative"),1,0)</x:f>
        <x:v>1</x:v>
      </x:c>
    </x:row>
    <x:row r="131" ht="15">
      <x:c r="A131" s="2" t="s">
        <x:v>29</x:v>
      </x:c>
      <x:c r="B131" s="2" t="s">
        <x:v>117</x:v>
      </x:c>
      <x:c r="C131" s="2">
        <x:v>3</x:v>
      </x:c>
      <x:c r="D131" s="2" t="s">
        <x:v>300</x:v>
      </x:c>
      <x:c r="E131" s="2" t="s">
        <x:v>301</x:v>
      </x:c>
      <x:c r="F131" s="7">
        <x:v>7.9909999999999995E-2</x:v>
      </x:c>
      <x:c r="G131" s="2" t="s">
        <x:v>302</x:v>
      </x:c>
      <x:c r="H131" s="8">
        <x:v>0.45</x:v>
      </x:c>
      <x:c r="I131" s="9" t="n">
        <x:f t="shared" si="2">IFERROR(ABS(F131)/H131,"")</x:f>
        <x:v>0.17757777777777775</x:v>
      </x:c>
      <x:c r="J131" s="2" t="s">
        <x:v>307</x:v>
      </x:c>
      <x:c r="K131" s="8">
        <x:v>0.44040000000000001</x:v>
      </x:c>
      <x:c r="L131" s="2" t="s">
        <x:v>312</x:v>
      </x:c>
      <x:c r="M131" s="2">
        <x:v>1</x:v>
      </x:c>
      <x:c r="N131" s="2" t="s">
        <x:v>79</x:v>
      </x:c>
      <x:c r="O131" s="5">
        <x:v>58.3</x:v>
      </x:c>
      <x:c r="P131" s="2">
        <x:v>384</x:v>
      </x:c>
      <x:c r="Q131" s="2" t="n">
        <x:f>IF(OR(J131="positive",J131="negative"),1,0)</x:f>
        <x:v>0</x:v>
      </x:c>
    </x:row>
    <x:row r="132" ht="15">
      <x:c r="A132" s="2" t="s">
        <x:v>29</x:v>
      </x:c>
      <x:c r="B132" s="2" t="s">
        <x:v>117</x:v>
      </x:c>
      <x:c r="C132" s="2">
        <x:v>3</x:v>
      </x:c>
      <x:c r="D132" s="2" t="s">
        <x:v>18</x:v>
      </x:c>
      <x:c r="E132" s="2" t="s">
        <x:v>303</x:v>
      </x:c>
      <x:c r="F132" s="7">
        <x:v>2.4320000000000001E-2</x:v>
      </x:c>
      <x:c r="G132" s="2" t="s">
        <x:v>304</x:v>
      </x:c>
      <x:c r="H132" s="8">
        <x:v>7.4999999999999997E-2</x:v>
      </x:c>
      <x:c r="I132" s="9" t="n">
        <x:f t="shared" si="2">IFERROR(ABS(F132)/H132,"")</x:f>
        <x:v>0.3242666666666667</x:v>
      </x:c>
      <x:c r="J132" s="2" t="s">
        <x:v>298</x:v>
      </x:c>
      <x:c r="K132" s="8">
        <x:v>0.96233999999999997</x:v>
      </x:c>
      <x:c r="L132" s="2" t="s">
        <x:v>299</x:v>
      </x:c>
      <x:c r="M132" s="2">
        <x:v>1</x:v>
      </x:c>
      <x:c r="N132" s="2" t="s">
        <x:v>79</x:v>
      </x:c>
      <x:c r="O132" s="5">
        <x:v>58.3</x:v>
      </x:c>
      <x:c r="P132" s="2">
        <x:v>384</x:v>
      </x:c>
      <x:c r="Q132" s="2" t="n">
        <x:f>IF(OR(J132="positive",J132="negative"),1,0)</x:f>
        <x:v>1</x:v>
      </x:c>
    </x:row>
    <x:row r="133" ht="15">
      <x:c r="A133" s="2" t="s">
        <x:v>29</x:v>
      </x:c>
      <x:c r="B133" s="2" t="s">
        <x:v>117</x:v>
      </x:c>
      <x:c r="C133" s="2">
        <x:v>3</x:v>
      </x:c>
      <x:c r="D133" s="2" t="s">
        <x:v>305</x:v>
      </x:c>
      <x:c r="E133" s="2" t="s">
        <x:v>306</x:v>
      </x:c>
      <x:c r="F133" s="7">
        <x:v>3.3169999999999998E-2</x:v>
      </x:c>
      <x:c r="G133" s="2" t="s">
        <x:v>304</x:v>
      </x:c>
      <x:c r="H133" s="8">
        <x:v>0.3</x:v>
      </x:c>
      <x:c r="I133" s="9" t="n">
        <x:f t="shared" si="2">IFERROR(ABS(F133)/H133,"")</x:f>
        <x:v>0.11056666666666666</x:v>
      </x:c>
      <x:c r="J133" s="2" t="s">
        <x:v>298</x:v>
      </x:c>
      <x:c r="K133" s="8">
        <x:v>0.93054999999999999</x:v>
      </x:c>
      <x:c r="L133" s="2" t="s">
        <x:v>299</x:v>
      </x:c>
      <x:c r="M133" s="2">
        <x:v>1</x:v>
      </x:c>
      <x:c r="N133" s="2" t="s">
        <x:v>79</x:v>
      </x:c>
      <x:c r="O133" s="5">
        <x:v>58.3</x:v>
      </x:c>
      <x:c r="P133" s="2">
        <x:v>384</x:v>
      </x:c>
      <x:c r="Q133" s="2" t="n">
        <x:f>IF(OR(J133="positive",J133="negative"),1,0)</x:f>
        <x:v>1</x:v>
      </x:c>
    </x:row>
    <x:row r="134" ht="15">
      <x:c r="A134" s="2" t="s">
        <x:v>29</x:v>
      </x:c>
      <x:c r="B134" s="2" t="s">
        <x:v>118</x:v>
      </x:c>
      <x:c r="C134" s="2">
        <x:v>4</x:v>
      </x:c>
      <x:c r="D134" s="2" t="s">
        <x:v>295</x:v>
      </x:c>
      <x:c r="E134" s="2" t="s">
        <x:v>296</x:v>
      </x:c>
      <x:c r="F134" s="7">
        <x:v>0.21385999999999999</x:v>
      </x:c>
      <x:c r="G134" s="2" t="s">
        <x:v>297</x:v>
      </x:c>
      <x:c r="H134" s="8">
        <x:v>3.5</x:v>
      </x:c>
      <x:c r="I134" s="9" t="n">
        <x:f t="shared" si="2">IFERROR(ABS(F134)/H134,"")</x:f>
        <x:v>0.06110285714285714</x:v>
      </x:c>
      <x:c r="J134" s="2" t="s">
        <x:v>298</x:v>
      </x:c>
      <x:c r="K134" s="8">
        <x:v>0.89132999999999996</x:v>
      </x:c>
      <x:c r="L134" s="2" t="s">
        <x:v>299</x:v>
      </x:c>
      <x:c r="M134" s="2">
        <x:v>1</x:v>
      </x:c>
      <x:c r="N134" s="2" t="s">
        <x:v>79</x:v>
      </x:c>
      <x:c r="O134" s="5">
        <x:v>63.5</x:v>
      </x:c>
      <x:c r="P134" s="2">
        <x:v>306</x:v>
      </x:c>
      <x:c r="Q134" s="2" t="n">
        <x:f>IF(OR(J134="positive",J134="negative"),1,0)</x:f>
        <x:v>1</x:v>
      </x:c>
    </x:row>
    <x:row r="135" ht="15">
      <x:c r="A135" s="2" t="s">
        <x:v>29</x:v>
      </x:c>
      <x:c r="B135" s="2" t="s">
        <x:v>118</x:v>
      </x:c>
      <x:c r="C135" s="2">
        <x:v>4</x:v>
      </x:c>
      <x:c r="D135" s="2" t="s">
        <x:v>300</x:v>
      </x:c>
      <x:c r="E135" s="2" t="s">
        <x:v>301</x:v>
      </x:c>
      <x:c r="F135" s="7">
        <x:v>7.0379999999999998E-2</x:v>
      </x:c>
      <x:c r="G135" s="2" t="s">
        <x:v>302</x:v>
      </x:c>
      <x:c r="H135" s="8">
        <x:v>0.45</x:v>
      </x:c>
      <x:c r="I135" s="9" t="n">
        <x:f t="shared" si="2">IFERROR(ABS(F135)/H135,"")</x:f>
        <x:v>0.15639999999999998</x:v>
      </x:c>
      <x:c r="J135" s="2" t="s">
        <x:v>298</x:v>
      </x:c>
      <x:c r="K135" s="8">
        <x:v>0.96133000000000002</x:v>
      </x:c>
      <x:c r="L135" s="2" t="s">
        <x:v>299</x:v>
      </x:c>
      <x:c r="M135" s="2">
        <x:v>1</x:v>
      </x:c>
      <x:c r="N135" s="2" t="s">
        <x:v>79</x:v>
      </x:c>
      <x:c r="O135" s="5">
        <x:v>63.5</x:v>
      </x:c>
      <x:c r="P135" s="2">
        <x:v>306</x:v>
      </x:c>
      <x:c r="Q135" s="2" t="n">
        <x:f>IF(OR(J135="positive",J135="negative"),1,0)</x:f>
        <x:v>1</x:v>
      </x:c>
    </x:row>
    <x:row r="136" ht="15">
      <x:c r="A136" s="2" t="s">
        <x:v>29</x:v>
      </x:c>
      <x:c r="B136" s="2" t="s">
        <x:v>118</x:v>
      </x:c>
      <x:c r="C136" s="2">
        <x:v>4</x:v>
      </x:c>
      <x:c r="D136" s="2" t="s">
        <x:v>18</x:v>
      </x:c>
      <x:c r="E136" s="2" t="s">
        <x:v>303</x:v>
      </x:c>
      <x:c r="F136" s="7">
        <x:v>-3.14E-3</x:v>
      </x:c>
      <x:c r="G136" s="2" t="s">
        <x:v>304</x:v>
      </x:c>
      <x:c r="H136" s="8">
        <x:v>7.4999999999999997E-2</x:v>
      </x:c>
      <x:c r="I136" s="9" t="n">
        <x:f t="shared" si="2">IFERROR(ABS(F136)/H136,"")</x:f>
        <x:v>0.04186666666666667</x:v>
      </x:c>
      <x:c r="J136" s="2" t="s">
        <x:v>298</x:v>
      </x:c>
      <x:c r="K136" s="8">
        <x:v>0.91786000000000001</x:v>
      </x:c>
      <x:c r="L136" s="2" t="s">
        <x:v>299</x:v>
      </x:c>
      <x:c r="M136" s="2">
        <x:v>1</x:v>
      </x:c>
      <x:c r="N136" s="2" t="s">
        <x:v>79</x:v>
      </x:c>
      <x:c r="O136" s="5">
        <x:v>63.5</x:v>
      </x:c>
      <x:c r="P136" s="2">
        <x:v>306</x:v>
      </x:c>
      <x:c r="Q136" s="2" t="n">
        <x:f>IF(OR(J136="positive",J136="negative"),1,0)</x:f>
        <x:v>1</x:v>
      </x:c>
    </x:row>
    <x:row r="137" ht="15">
      <x:c r="A137" s="2" t="s">
        <x:v>29</x:v>
      </x:c>
      <x:c r="B137" s="2" t="s">
        <x:v>118</x:v>
      </x:c>
      <x:c r="C137" s="2">
        <x:v>4</x:v>
      </x:c>
      <x:c r="D137" s="2" t="s">
        <x:v>305</x:v>
      </x:c>
      <x:c r="E137" s="2" t="s">
        <x:v>306</x:v>
      </x:c>
      <x:c r="F137" s="7">
        <x:v>2.4150000000000001E-2</x:v>
      </x:c>
      <x:c r="G137" s="2" t="s">
        <x:v>304</x:v>
      </x:c>
      <x:c r="H137" s="8">
        <x:v>0.3</x:v>
      </x:c>
      <x:c r="I137" s="9" t="n">
        <x:f t="shared" si="2">IFERROR(ABS(F137)/H137,"")</x:f>
        <x:v>0.0805</x:v>
      </x:c>
      <x:c r="J137" s="2" t="s">
        <x:v>298</x:v>
      </x:c>
      <x:c r="K137" s="8">
        <x:v>0.95115000000000005</x:v>
      </x:c>
      <x:c r="L137" s="2" t="s">
        <x:v>299</x:v>
      </x:c>
      <x:c r="M137" s="2">
        <x:v>1</x:v>
      </x:c>
      <x:c r="N137" s="2" t="s">
        <x:v>79</x:v>
      </x:c>
      <x:c r="O137" s="5">
        <x:v>63.5</x:v>
      </x:c>
      <x:c r="P137" s="2">
        <x:v>306</x:v>
      </x:c>
      <x:c r="Q137" s="2" t="n">
        <x:f>IF(OR(J137="positive",J137="negative"),1,0)</x:f>
        <x:v>1</x:v>
      </x:c>
    </x:row>
    <x:row r="138" ht="15">
      <x:c r="A138" s="2" t="s">
        <x:v>29</x:v>
      </x:c>
      <x:c r="B138" s="2" t="s">
        <x:v>119</x:v>
      </x:c>
      <x:c r="C138" s="2">
        <x:v>5</x:v>
      </x:c>
      <x:c r="D138" s="2" t="s">
        <x:v>295</x:v>
      </x:c>
      <x:c r="E138" s="2" t="s">
        <x:v>296</x:v>
      </x:c>
      <x:c r="F138" s="7">
        <x:v>0.34486</x:v>
      </x:c>
      <x:c r="G138" s="2" t="s">
        <x:v>297</x:v>
      </x:c>
      <x:c r="H138" s="8">
        <x:v>3.5</x:v>
      </x:c>
      <x:c r="I138" s="9" t="n">
        <x:f t="shared" si="2">IFERROR(ABS(F138)/H138,"")</x:f>
        <x:v>0.09853142857142858</x:v>
      </x:c>
      <x:c r="J138" s="2" t="s">
        <x:v>298</x:v>
      </x:c>
      <x:c r="K138" s="8">
        <x:v>0.94164999999999999</x:v>
      </x:c>
      <x:c r="L138" s="2" t="s">
        <x:v>299</x:v>
      </x:c>
      <x:c r="M138" s="2">
        <x:v>1</x:v>
      </x:c>
      <x:c r="N138" s="2" t="s">
        <x:v>79</x:v>
      </x:c>
      <x:c r="O138" s="5">
        <x:v>62.1</x:v>
      </x:c>
      <x:c r="P138" s="2">
        <x:v>441</x:v>
      </x:c>
      <x:c r="Q138" s="2" t="n">
        <x:f>IF(OR(J138="positive",J138="negative"),1,0)</x:f>
        <x:v>1</x:v>
      </x:c>
    </x:row>
    <x:row r="139" ht="15">
      <x:c r="A139" s="2" t="s">
        <x:v>29</x:v>
      </x:c>
      <x:c r="B139" s="2" t="s">
        <x:v>119</x:v>
      </x:c>
      <x:c r="C139" s="2">
        <x:v>5</x:v>
      </x:c>
      <x:c r="D139" s="2" t="s">
        <x:v>300</x:v>
      </x:c>
      <x:c r="E139" s="2" t="s">
        <x:v>301</x:v>
      </x:c>
      <x:c r="F139" s="7">
        <x:v>5.0250000000000003E-2</x:v>
      </x:c>
      <x:c r="G139" s="2" t="s">
        <x:v>302</x:v>
      </x:c>
      <x:c r="H139" s="8">
        <x:v>0.45</x:v>
      </x:c>
      <x:c r="I139" s="9" t="n">
        <x:f t="shared" si="2">IFERROR(ABS(F139)/H139,"")</x:f>
        <x:v>0.11166666666666666</x:v>
      </x:c>
      <x:c r="J139" s="2" t="s">
        <x:v>298</x:v>
      </x:c>
      <x:c r="K139" s="8">
        <x:v>0.93044000000000004</x:v>
      </x:c>
      <x:c r="L139" s="2" t="s">
        <x:v>299</x:v>
      </x:c>
      <x:c r="M139" s="2">
        <x:v>1</x:v>
      </x:c>
      <x:c r="N139" s="2" t="s">
        <x:v>79</x:v>
      </x:c>
      <x:c r="O139" s="5">
        <x:v>62.1</x:v>
      </x:c>
      <x:c r="P139" s="2">
        <x:v>441</x:v>
      </x:c>
      <x:c r="Q139" s="2" t="n">
        <x:f>IF(OR(J139="positive",J139="negative"),1,0)</x:f>
        <x:v>1</x:v>
      </x:c>
    </x:row>
    <x:row r="140" ht="15">
      <x:c r="A140" s="2" t="s">
        <x:v>29</x:v>
      </x:c>
      <x:c r="B140" s="2" t="s">
        <x:v>119</x:v>
      </x:c>
      <x:c r="C140" s="2">
        <x:v>5</x:v>
      </x:c>
      <x:c r="D140" s="2" t="s">
        <x:v>18</x:v>
      </x:c>
      <x:c r="E140" s="2" t="s">
        <x:v>303</x:v>
      </x:c>
      <x:c r="F140" s="7">
        <x:v>2.1669999999999998E-2</x:v>
      </x:c>
      <x:c r="G140" s="2" t="s">
        <x:v>304</x:v>
      </x:c>
      <x:c r="H140" s="8">
        <x:v>7.4999999999999997E-2</x:v>
      </x:c>
      <x:c r="I140" s="9" t="n">
        <x:f t="shared" si="2">IFERROR(ABS(F140)/H140,"")</x:f>
        <x:v>0.2889333333333333</x:v>
      </x:c>
      <x:c r="J140" s="2" t="s">
        <x:v>298</x:v>
      </x:c>
      <x:c r="K140" s="8">
        <x:v>0.94467000000000001</x:v>
      </x:c>
      <x:c r="L140" s="2" t="s">
        <x:v>299</x:v>
      </x:c>
      <x:c r="M140" s="2">
        <x:v>1</x:v>
      </x:c>
      <x:c r="N140" s="2" t="s">
        <x:v>79</x:v>
      </x:c>
      <x:c r="O140" s="5">
        <x:v>62.1</x:v>
      </x:c>
      <x:c r="P140" s="2">
        <x:v>441</x:v>
      </x:c>
      <x:c r="Q140" s="2" t="n">
        <x:f>IF(OR(J140="positive",J140="negative"),1,0)</x:f>
        <x:v>1</x:v>
      </x:c>
    </x:row>
    <x:row r="141" ht="15">
      <x:c r="A141" s="2" t="s">
        <x:v>29</x:v>
      </x:c>
      <x:c r="B141" s="2" t="s">
        <x:v>119</x:v>
      </x:c>
      <x:c r="C141" s="2">
        <x:v>5</x:v>
      </x:c>
      <x:c r="D141" s="2" t="s">
        <x:v>305</x:v>
      </x:c>
      <x:c r="E141" s="2" t="s">
        <x:v>306</x:v>
      </x:c>
      <x:c r="F141" s="7">
        <x:v>7.3800000000000003E-3</x:v>
      </x:c>
      <x:c r="G141" s="2" t="s">
        <x:v>304</x:v>
      </x:c>
      <x:c r="H141" s="8">
        <x:v>0.3</x:v>
      </x:c>
      <x:c r="I141" s="9" t="n">
        <x:f t="shared" si="2">IFERROR(ABS(F141)/H141,"")</x:f>
        <x:v>0.0246</x:v>
      </x:c>
      <x:c r="J141" s="2" t="s">
        <x:v>298</x:v>
      </x:c>
      <x:c r="K141" s="8">
        <x:v>0.92752999999999997</x:v>
      </x:c>
      <x:c r="L141" s="2" t="s">
        <x:v>299</x:v>
      </x:c>
      <x:c r="M141" s="2">
        <x:v>1</x:v>
      </x:c>
      <x:c r="N141" s="2" t="s">
        <x:v>79</x:v>
      </x:c>
      <x:c r="O141" s="5">
        <x:v>62.1</x:v>
      </x:c>
      <x:c r="P141" s="2">
        <x:v>441</x:v>
      </x:c>
      <x:c r="Q141" s="2" t="n">
        <x:f>IF(OR(J141="positive",J141="negative"),1,0)</x:f>
        <x:v>1</x:v>
      </x:c>
    </x:row>
    <x:row r="142" ht="15">
      <x:c r="A142" s="2" t="s">
        <x:v>30</x:v>
      </x:c>
      <x:c r="B142" s="2" t="s">
        <x:v>120</x:v>
      </x:c>
      <x:c r="C142" s="2">
        <x:v>1</x:v>
      </x:c>
      <x:c r="D142" s="2" t="s">
        <x:v>295</x:v>
      </x:c>
      <x:c r="E142" s="2" t="s">
        <x:v>296</x:v>
      </x:c>
      <x:c r="F142" s="7">
        <x:v>0.76637999999999995</x:v>
      </x:c>
      <x:c r="G142" s="2" t="s">
        <x:v>297</x:v>
      </x:c>
      <x:c r="H142" s="8">
        <x:v>3.5</x:v>
      </x:c>
      <x:c r="I142" s="9" t="n">
        <x:f t="shared" si="2">IFERROR(ABS(F142)/H142,"")</x:f>
        <x:v>0.21896571428571426</x:v>
      </x:c>
      <x:c r="J142" s="2" t="s">
        <x:v>298</x:v>
      </x:c>
      <x:c r="K142" s="8">
        <x:v>0.93422000000000005</x:v>
      </x:c>
      <x:c r="L142" s="2" t="s">
        <x:v>299</x:v>
      </x:c>
      <x:c r="M142" s="2">
        <x:v>1</x:v>
      </x:c>
      <x:c r="N142" s="2" t="s">
        <x:v>79</x:v>
      </x:c>
      <x:c r="O142" s="5">
        <x:v>60.9</x:v>
      </x:c>
      <x:c r="P142" s="2">
        <x:v>491</x:v>
      </x:c>
      <x:c r="Q142" s="2" t="n">
        <x:f>IF(OR(J142="positive",J142="negative"),1,0)</x:f>
        <x:v>1</x:v>
      </x:c>
    </x:row>
    <x:row r="143" ht="15">
      <x:c r="A143" s="2" t="s">
        <x:v>30</x:v>
      </x:c>
      <x:c r="B143" s="2" t="s">
        <x:v>120</x:v>
      </x:c>
      <x:c r="C143" s="2">
        <x:v>1</x:v>
      </x:c>
      <x:c r="D143" s="2" t="s">
        <x:v>300</x:v>
      </x:c>
      <x:c r="E143" s="2" t="s">
        <x:v>301</x:v>
      </x:c>
      <x:c r="F143" s="7">
        <x:v>2.3109999999999999E-2</x:v>
      </x:c>
      <x:c r="G143" s="2" t="s">
        <x:v>302</x:v>
      </x:c>
      <x:c r="H143" s="8">
        <x:v>0.45</x:v>
      </x:c>
      <x:c r="I143" s="9" t="n">
        <x:f t="shared" si="2">IFERROR(ABS(F143)/H143,"")</x:f>
        <x:v>0.05135555555555555</x:v>
      </x:c>
      <x:c r="J143" s="2" t="s">
        <x:v>298</x:v>
      </x:c>
      <x:c r="K143" s="8">
        <x:v>0.97406999999999999</x:v>
      </x:c>
      <x:c r="L143" s="2" t="s">
        <x:v>299</x:v>
      </x:c>
      <x:c r="M143" s="2">
        <x:v>1</x:v>
      </x:c>
      <x:c r="N143" s="2" t="s">
        <x:v>79</x:v>
      </x:c>
      <x:c r="O143" s="5">
        <x:v>60.9</x:v>
      </x:c>
      <x:c r="P143" s="2">
        <x:v>491</x:v>
      </x:c>
      <x:c r="Q143" s="2" t="n">
        <x:f>IF(OR(J143="positive",J143="negative"),1,0)</x:f>
        <x:v>1</x:v>
      </x:c>
    </x:row>
    <x:row r="144" ht="15">
      <x:c r="A144" s="2" t="s">
        <x:v>30</x:v>
      </x:c>
      <x:c r="B144" s="2" t="s">
        <x:v>120</x:v>
      </x:c>
      <x:c r="C144" s="2">
        <x:v>1</x:v>
      </x:c>
      <x:c r="D144" s="2" t="s">
        <x:v>18</x:v>
      </x:c>
      <x:c r="E144" s="2" t="s">
        <x:v>303</x:v>
      </x:c>
      <x:c r="F144" s="7">
        <x:v>-1.3500000000000001E-3</x:v>
      </x:c>
      <x:c r="G144" s="2" t="s">
        <x:v>304</x:v>
      </x:c>
      <x:c r="H144" s="8">
        <x:v>7.4999999999999997E-2</x:v>
      </x:c>
      <x:c r="I144" s="9" t="n">
        <x:f t="shared" si="2">IFERROR(ABS(F144)/H144,"")</x:f>
        <x:v>0.018000000000000002</x:v>
      </x:c>
      <x:c r="J144" s="2" t="s">
        <x:v>298</x:v>
      </x:c>
      <x:c r="K144" s="8">
        <x:v>0.93810000000000004</x:v>
      </x:c>
      <x:c r="L144" s="2" t="s">
        <x:v>299</x:v>
      </x:c>
      <x:c r="M144" s="2">
        <x:v>1</x:v>
      </x:c>
      <x:c r="N144" s="2" t="s">
        <x:v>79</x:v>
      </x:c>
      <x:c r="O144" s="5">
        <x:v>60.9</x:v>
      </x:c>
      <x:c r="P144" s="2">
        <x:v>491</x:v>
      </x:c>
      <x:c r="Q144" s="2" t="n">
        <x:f>IF(OR(J144="positive",J144="negative"),1,0)</x:f>
        <x:v>1</x:v>
      </x:c>
    </x:row>
    <x:row r="145" ht="15">
      <x:c r="A145" s="2" t="s">
        <x:v>30</x:v>
      </x:c>
      <x:c r="B145" s="2" t="s">
        <x:v>120</x:v>
      </x:c>
      <x:c r="C145" s="2">
        <x:v>1</x:v>
      </x:c>
      <x:c r="D145" s="2" t="s">
        <x:v>305</x:v>
      </x:c>
      <x:c r="E145" s="2" t="s">
        <x:v>306</x:v>
      </x:c>
      <x:c r="F145" s="7">
        <x:v>8.3900000000000002E-2</x:v>
      </x:c>
      <x:c r="G145" s="2" t="s">
        <x:v>304</x:v>
      </x:c>
      <x:c r="H145" s="8">
        <x:v>0.3</x:v>
      </x:c>
      <x:c r="I145" s="9" t="n">
        <x:f t="shared" si="2">IFERROR(ABS(F145)/H145,"")</x:f>
        <x:v>0.2796666666666667</x:v>
      </x:c>
      <x:c r="J145" s="2" t="s">
        <x:v>298</x:v>
      </x:c>
      <x:c r="K145" s="8">
        <x:v>0.94799999999999995</x:v>
      </x:c>
      <x:c r="L145" s="2" t="s">
        <x:v>299</x:v>
      </x:c>
      <x:c r="M145" s="2">
        <x:v>1</x:v>
      </x:c>
      <x:c r="N145" s="2" t="s">
        <x:v>79</x:v>
      </x:c>
      <x:c r="O145" s="5">
        <x:v>60.9</x:v>
      </x:c>
      <x:c r="P145" s="2">
        <x:v>491</x:v>
      </x:c>
      <x:c r="Q145" s="2" t="n">
        <x:f>IF(OR(J145="positive",J145="negative"),1,0)</x:f>
        <x:v>1</x:v>
      </x:c>
    </x:row>
    <x:row r="146" ht="15">
      <x:c r="A146" s="2" t="s">
        <x:v>30</x:v>
      </x:c>
      <x:c r="B146" s="2" t="s">
        <x:v>121</x:v>
      </x:c>
      <x:c r="C146" s="2">
        <x:v>2</x:v>
      </x:c>
      <x:c r="D146" s="2" t="s">
        <x:v>295</x:v>
      </x:c>
      <x:c r="E146" s="2" t="s">
        <x:v>296</x:v>
      </x:c>
      <x:c r="F146" s="7">
        <x:v>0.54979999999999996</x:v>
      </x:c>
      <x:c r="G146" s="2" t="s">
        <x:v>297</x:v>
      </x:c>
      <x:c r="H146" s="8">
        <x:v>3.5</x:v>
      </x:c>
      <x:c r="I146" s="9" t="n">
        <x:f t="shared" si="2">IFERROR(ABS(F146)/H146,"")</x:f>
        <x:v>0.15708571428571427</x:v>
      </x:c>
      <x:c r="J146" s="2" t="s">
        <x:v>298</x:v>
      </x:c>
      <x:c r="K146" s="8">
        <x:v>0.94930999999999999</x:v>
      </x:c>
      <x:c r="L146" s="2" t="s">
        <x:v>299</x:v>
      </x:c>
      <x:c r="M146" s="2">
        <x:v>1</x:v>
      </x:c>
      <x:c r="N146" s="2" t="s">
        <x:v>79</x:v>
      </x:c>
      <x:c r="O146" s="5">
        <x:v>65.2</x:v>
      </x:c>
      <x:c r="P146" s="2">
        <x:v>405</x:v>
      </x:c>
      <x:c r="Q146" s="2" t="n">
        <x:f>IF(OR(J146="positive",J146="negative"),1,0)</x:f>
        <x:v>1</x:v>
      </x:c>
    </x:row>
    <x:row r="147" ht="15">
      <x:c r="A147" s="2" t="s">
        <x:v>30</x:v>
      </x:c>
      <x:c r="B147" s="2" t="s">
        <x:v>121</x:v>
      </x:c>
      <x:c r="C147" s="2">
        <x:v>2</x:v>
      </x:c>
      <x:c r="D147" s="2" t="s">
        <x:v>300</x:v>
      </x:c>
      <x:c r="E147" s="2" t="s">
        <x:v>301</x:v>
      </x:c>
      <x:c r="F147" s="7">
        <x:v>1.9369999999999998E-2</x:v>
      </x:c>
      <x:c r="G147" s="2" t="s">
        <x:v>302</x:v>
      </x:c>
      <x:c r="H147" s="8">
        <x:v>0.45</x:v>
      </x:c>
      <x:c r="I147" s="9" t="n">
        <x:f t="shared" si="2">IFERROR(ABS(F147)/H147,"")</x:f>
        <x:v>0.04304444444444444</x:v>
      </x:c>
      <x:c r="J147" s="2" t="s">
        <x:v>298</x:v>
      </x:c>
      <x:c r="K147" s="8">
        <x:v>0.97291000000000005</x:v>
      </x:c>
      <x:c r="L147" s="2" t="s">
        <x:v>299</x:v>
      </x:c>
      <x:c r="M147" s="2">
        <x:v>1</x:v>
      </x:c>
      <x:c r="N147" s="2" t="s">
        <x:v>79</x:v>
      </x:c>
      <x:c r="O147" s="5">
        <x:v>65.2</x:v>
      </x:c>
      <x:c r="P147" s="2">
        <x:v>405</x:v>
      </x:c>
      <x:c r="Q147" s="2" t="n">
        <x:f>IF(OR(J147="positive",J147="negative"),1,0)</x:f>
        <x:v>1</x:v>
      </x:c>
    </x:row>
    <x:row r="148" ht="15">
      <x:c r="A148" s="2" t="s">
        <x:v>30</x:v>
      </x:c>
      <x:c r="B148" s="2" t="s">
        <x:v>121</x:v>
      </x:c>
      <x:c r="C148" s="2">
        <x:v>2</x:v>
      </x:c>
      <x:c r="D148" s="2" t="s">
        <x:v>18</x:v>
      </x:c>
      <x:c r="E148" s="2" t="s">
        <x:v>303</x:v>
      </x:c>
      <x:c r="F148" s="7">
        <x:v>-1.3729999999999999E-2</x:v>
      </x:c>
      <x:c r="G148" s="2" t="s">
        <x:v>304</x:v>
      </x:c>
      <x:c r="H148" s="8">
        <x:v>7.4999999999999997E-2</x:v>
      </x:c>
      <x:c r="I148" s="9" t="n">
        <x:f t="shared" si="2">IFERROR(ABS(F148)/H148,"")</x:f>
        <x:v>0.18306666666666666</x:v>
      </x:c>
      <x:c r="J148" s="2" t="s">
        <x:v>298</x:v>
      </x:c>
      <x:c r="K148" s="8">
        <x:v>0.95665999999999995</x:v>
      </x:c>
      <x:c r="L148" s="2" t="s">
        <x:v>299</x:v>
      </x:c>
      <x:c r="M148" s="2">
        <x:v>1</x:v>
      </x:c>
      <x:c r="N148" s="2" t="s">
        <x:v>79</x:v>
      </x:c>
      <x:c r="O148" s="5">
        <x:v>65.2</x:v>
      </x:c>
      <x:c r="P148" s="2">
        <x:v>405</x:v>
      </x:c>
      <x:c r="Q148" s="2" t="n">
        <x:f>IF(OR(J148="positive",J148="negative"),1,0)</x:f>
        <x:v>1</x:v>
      </x:c>
    </x:row>
    <x:row r="149" ht="15">
      <x:c r="A149" s="2" t="s">
        <x:v>30</x:v>
      </x:c>
      <x:c r="B149" s="2" t="s">
        <x:v>121</x:v>
      </x:c>
      <x:c r="C149" s="2">
        <x:v>2</x:v>
      </x:c>
      <x:c r="D149" s="2" t="s">
        <x:v>305</x:v>
      </x:c>
      <x:c r="E149" s="2" t="s">
        <x:v>306</x:v>
      </x:c>
      <x:c r="F149" s="7">
        <x:v>0.12747</x:v>
      </x:c>
      <x:c r="G149" s="2" t="s">
        <x:v>304</x:v>
      </x:c>
      <x:c r="H149" s="8">
        <x:v>0.3</x:v>
      </x:c>
      <x:c r="I149" s="9" t="n">
        <x:f t="shared" si="2">IFERROR(ABS(F149)/H149,"")</x:f>
        <x:v>0.4249</x:v>
      </x:c>
      <x:c r="J149" s="2" t="s">
        <x:v>298</x:v>
      </x:c>
      <x:c r="K149" s="8">
        <x:v>0.95035999999999998</x:v>
      </x:c>
      <x:c r="L149" s="2" t="s">
        <x:v>299</x:v>
      </x:c>
      <x:c r="M149" s="2">
        <x:v>1</x:v>
      </x:c>
      <x:c r="N149" s="2" t="s">
        <x:v>79</x:v>
      </x:c>
      <x:c r="O149" s="5">
        <x:v>65.2</x:v>
      </x:c>
      <x:c r="P149" s="2">
        <x:v>405</x:v>
      </x:c>
      <x:c r="Q149" s="2" t="n">
        <x:f>IF(OR(J149="positive",J149="negative"),1,0)</x:f>
        <x:v>1</x:v>
      </x:c>
    </x:row>
    <x:row r="150" ht="15">
      <x:c r="A150" s="2" t="s">
        <x:v>30</x:v>
      </x:c>
      <x:c r="B150" s="2" t="s">
        <x:v>122</x:v>
      </x:c>
      <x:c r="C150" s="2">
        <x:v>3</x:v>
      </x:c>
      <x:c r="D150" s="2" t="s">
        <x:v>295</x:v>
      </x:c>
      <x:c r="E150" s="2" t="s">
        <x:v>296</x:v>
      </x:c>
      <x:c r="F150" s="7">
        <x:v>0.62141000000000002</x:v>
      </x:c>
      <x:c r="G150" s="2" t="s">
        <x:v>297</x:v>
      </x:c>
      <x:c r="H150" s="8">
        <x:v>3.5</x:v>
      </x:c>
      <x:c r="I150" s="9" t="n">
        <x:f t="shared" si="2">IFERROR(ABS(F150)/H150,"")</x:f>
        <x:v>0.17754571428571428</x:v>
      </x:c>
      <x:c r="J150" s="2" t="s">
        <x:v>298</x:v>
      </x:c>
      <x:c r="K150" s="8">
        <x:v>0.93191000000000002</x:v>
      </x:c>
      <x:c r="L150" s="2" t="s">
        <x:v>299</x:v>
      </x:c>
      <x:c r="M150" s="2">
        <x:v>1</x:v>
      </x:c>
      <x:c r="N150" s="2" t="s">
        <x:v>79</x:v>
      </x:c>
      <x:c r="O150" s="5">
        <x:v>64.400000000000006</x:v>
      </x:c>
      <x:c r="P150" s="2">
        <x:v>424</x:v>
      </x:c>
      <x:c r="Q150" s="2" t="n">
        <x:f>IF(OR(J150="positive",J150="negative"),1,0)</x:f>
        <x:v>1</x:v>
      </x:c>
    </x:row>
    <x:row r="151" ht="15">
      <x:c r="A151" s="2" t="s">
        <x:v>30</x:v>
      </x:c>
      <x:c r="B151" s="2" t="s">
        <x:v>122</x:v>
      </x:c>
      <x:c r="C151" s="2">
        <x:v>3</x:v>
      </x:c>
      <x:c r="D151" s="2" t="s">
        <x:v>300</x:v>
      </x:c>
      <x:c r="E151" s="2" t="s">
        <x:v>301</x:v>
      </x:c>
      <x:c r="F151" s="7">
        <x:v>2.0209999999999999E-2</x:v>
      </x:c>
      <x:c r="G151" s="2" t="s">
        <x:v>302</x:v>
      </x:c>
      <x:c r="H151" s="8">
        <x:v>0.45</x:v>
      </x:c>
      <x:c r="I151" s="9" t="n">
        <x:f t="shared" si="2">IFERROR(ABS(F151)/H151,"")</x:f>
        <x:v>0.04491111111111111</x:v>
      </x:c>
      <x:c r="J151" s="2" t="s">
        <x:v>298</x:v>
      </x:c>
      <x:c r="K151" s="8">
        <x:v>0.93135999999999997</x:v>
      </x:c>
      <x:c r="L151" s="2" t="s">
        <x:v>299</x:v>
      </x:c>
      <x:c r="M151" s="2">
        <x:v>1</x:v>
      </x:c>
      <x:c r="N151" s="2" t="s">
        <x:v>79</x:v>
      </x:c>
      <x:c r="O151" s="5">
        <x:v>64.400000000000006</x:v>
      </x:c>
      <x:c r="P151" s="2">
        <x:v>424</x:v>
      </x:c>
      <x:c r="Q151" s="2" t="n">
        <x:f>IF(OR(J151="positive",J151="negative"),1,0)</x:f>
        <x:v>1</x:v>
      </x:c>
    </x:row>
    <x:row r="152" ht="15">
      <x:c r="A152" s="2" t="s">
        <x:v>30</x:v>
      </x:c>
      <x:c r="B152" s="2" t="s">
        <x:v>122</x:v>
      </x:c>
      <x:c r="C152" s="2">
        <x:v>3</x:v>
      </x:c>
      <x:c r="D152" s="2" t="s">
        <x:v>18</x:v>
      </x:c>
      <x:c r="E152" s="2" t="s">
        <x:v>303</x:v>
      </x:c>
      <x:c r="F152" s="7">
        <x:v>-8.3000000000000001E-4</x:v>
      </x:c>
      <x:c r="G152" s="2" t="s">
        <x:v>304</x:v>
      </x:c>
      <x:c r="H152" s="8">
        <x:v>7.4999999999999997E-2</x:v>
      </x:c>
      <x:c r="I152" s="9" t="n">
        <x:f t="shared" si="2">IFERROR(ABS(F152)/H152,"")</x:f>
        <x:v>0.011066666666666667</x:v>
      </x:c>
      <x:c r="J152" s="2" t="s">
        <x:v>298</x:v>
      </x:c>
      <x:c r="K152" s="8">
        <x:v>0.92949000000000004</x:v>
      </x:c>
      <x:c r="L152" s="2" t="s">
        <x:v>299</x:v>
      </x:c>
      <x:c r="M152" s="2">
        <x:v>1</x:v>
      </x:c>
      <x:c r="N152" s="2" t="s">
        <x:v>79</x:v>
      </x:c>
      <x:c r="O152" s="5">
        <x:v>64.400000000000006</x:v>
      </x:c>
      <x:c r="P152" s="2">
        <x:v>424</x:v>
      </x:c>
      <x:c r="Q152" s="2" t="n">
        <x:f>IF(OR(J152="positive",J152="negative"),1,0)</x:f>
        <x:v>1</x:v>
      </x:c>
    </x:row>
    <x:row r="153" ht="15">
      <x:c r="A153" s="2" t="s">
        <x:v>30</x:v>
      </x:c>
      <x:c r="B153" s="2" t="s">
        <x:v>122</x:v>
      </x:c>
      <x:c r="C153" s="2">
        <x:v>3</x:v>
      </x:c>
      <x:c r="D153" s="2" t="s">
        <x:v>305</x:v>
      </x:c>
      <x:c r="E153" s="2" t="s">
        <x:v>306</x:v>
      </x:c>
      <x:c r="F153" s="7">
        <x:v>7.6410000000000006E-2</x:v>
      </x:c>
      <x:c r="G153" s="2" t="s">
        <x:v>304</x:v>
      </x:c>
      <x:c r="H153" s="8">
        <x:v>0.3</x:v>
      </x:c>
      <x:c r="I153" s="9" t="n">
        <x:f t="shared" si="2">IFERROR(ABS(F153)/H153,"")</x:f>
        <x:v>0.25470000000000004</x:v>
      </x:c>
      <x:c r="J153" s="2" t="s">
        <x:v>298</x:v>
      </x:c>
      <x:c r="K153" s="8">
        <x:v>0.96528999999999998</x:v>
      </x:c>
      <x:c r="L153" s="2" t="s">
        <x:v>299</x:v>
      </x:c>
      <x:c r="M153" s="2">
        <x:v>1</x:v>
      </x:c>
      <x:c r="N153" s="2" t="s">
        <x:v>79</x:v>
      </x:c>
      <x:c r="O153" s="5">
        <x:v>64.400000000000006</x:v>
      </x:c>
      <x:c r="P153" s="2">
        <x:v>424</x:v>
      </x:c>
      <x:c r="Q153" s="2" t="n">
        <x:f>IF(OR(J153="positive",J153="negative"),1,0)</x:f>
        <x:v>1</x:v>
      </x:c>
    </x:row>
    <x:row r="154" ht="15">
      <x:c r="A154" s="2" t="s">
        <x:v>30</x:v>
      </x:c>
      <x:c r="B154" s="2" t="s">
        <x:v>123</x:v>
      </x:c>
      <x:c r="C154" s="2">
        <x:v>4</x:v>
      </x:c>
      <x:c r="D154" s="2" t="s">
        <x:v>295</x:v>
      </x:c>
      <x:c r="E154" s="2" t="s">
        <x:v>296</x:v>
      </x:c>
      <x:c r="F154" s="7">
        <x:v>0.38884999999999997</x:v>
      </x:c>
      <x:c r="G154" s="2" t="s">
        <x:v>297</x:v>
      </x:c>
      <x:c r="H154" s="8">
        <x:v>3.5</x:v>
      </x:c>
      <x:c r="I154" s="9" t="n">
        <x:f t="shared" si="2">IFERROR(ABS(F154)/H154,"")</x:f>
        <x:v>0.11109999999999999</x:v>
      </x:c>
      <x:c r="J154" s="2" t="s">
        <x:v>298</x:v>
      </x:c>
      <x:c r="K154" s="8">
        <x:v>0.92513999999999996</x:v>
      </x:c>
      <x:c r="L154" s="2" t="s">
        <x:v>299</x:v>
      </x:c>
      <x:c r="M154" s="2">
        <x:v>1</x:v>
      </x:c>
      <x:c r="N154" s="2" t="s">
        <x:v>79</x:v>
      </x:c>
      <x:c r="O154" s="5">
        <x:v>58.1</x:v>
      </x:c>
      <x:c r="P154" s="2">
        <x:v>358</x:v>
      </x:c>
      <x:c r="Q154" s="2" t="n">
        <x:f>IF(OR(J154="positive",J154="negative"),1,0)</x:f>
        <x:v>1</x:v>
      </x:c>
    </x:row>
    <x:row r="155" ht="15">
      <x:c r="A155" s="2" t="s">
        <x:v>30</x:v>
      </x:c>
      <x:c r="B155" s="2" t="s">
        <x:v>123</x:v>
      </x:c>
      <x:c r="C155" s="2">
        <x:v>4</x:v>
      </x:c>
      <x:c r="D155" s="2" t="s">
        <x:v>300</x:v>
      </x:c>
      <x:c r="E155" s="2" t="s">
        <x:v>301</x:v>
      </x:c>
      <x:c r="F155" s="7">
        <x:v>-4.4099999999999999E-3</x:v>
      </x:c>
      <x:c r="G155" s="2" t="s">
        <x:v>302</x:v>
      </x:c>
      <x:c r="H155" s="8">
        <x:v>0.45</x:v>
      </x:c>
      <x:c r="I155" s="9" t="n">
        <x:f t="shared" si="2">IFERROR(ABS(F155)/H155,"")</x:f>
        <x:v>0.0098</x:v>
      </x:c>
      <x:c r="J155" s="2" t="s">
        <x:v>298</x:v>
      </x:c>
      <x:c r="K155" s="8">
        <x:v>0.95604</x:v>
      </x:c>
      <x:c r="L155" s="2" t="s">
        <x:v>299</x:v>
      </x:c>
      <x:c r="M155" s="2">
        <x:v>1</x:v>
      </x:c>
      <x:c r="N155" s="2" t="s">
        <x:v>79</x:v>
      </x:c>
      <x:c r="O155" s="5">
        <x:v>58.1</x:v>
      </x:c>
      <x:c r="P155" s="2">
        <x:v>358</x:v>
      </x:c>
      <x:c r="Q155" s="2" t="n">
        <x:f>IF(OR(J155="positive",J155="negative"),1,0)</x:f>
        <x:v>1</x:v>
      </x:c>
    </x:row>
    <x:row r="156" ht="15">
      <x:c r="A156" s="2" t="s">
        <x:v>30</x:v>
      </x:c>
      <x:c r="B156" s="2" t="s">
        <x:v>123</x:v>
      </x:c>
      <x:c r="C156" s="2">
        <x:v>4</x:v>
      </x:c>
      <x:c r="D156" s="2" t="s">
        <x:v>18</x:v>
      </x:c>
      <x:c r="E156" s="2" t="s">
        <x:v>303</x:v>
      </x:c>
      <x:c r="F156" s="7">
        <x:v>-3.6099999999999999E-3</x:v>
      </x:c>
      <x:c r="G156" s="2" t="s">
        <x:v>304</x:v>
      </x:c>
      <x:c r="H156" s="8">
        <x:v>7.4999999999999997E-2</x:v>
      </x:c>
      <x:c r="I156" s="9" t="n">
        <x:f t="shared" si="2">IFERROR(ABS(F156)/H156,"")</x:f>
        <x:v>0.048133333333333334</x:v>
      </x:c>
      <x:c r="J156" s="2" t="s">
        <x:v>298</x:v>
      </x:c>
      <x:c r="K156" s="8">
        <x:v>0.98760999999999999</x:v>
      </x:c>
      <x:c r="L156" s="2" t="s">
        <x:v>299</x:v>
      </x:c>
      <x:c r="M156" s="2">
        <x:v>1</x:v>
      </x:c>
      <x:c r="N156" s="2" t="s">
        <x:v>79</x:v>
      </x:c>
      <x:c r="O156" s="5">
        <x:v>58.1</x:v>
      </x:c>
      <x:c r="P156" s="2">
        <x:v>358</x:v>
      </x:c>
      <x:c r="Q156" s="2" t="n">
        <x:f>IF(OR(J156="positive",J156="negative"),1,0)</x:f>
        <x:v>1</x:v>
      </x:c>
    </x:row>
    <x:row r="157" ht="15">
      <x:c r="A157" s="2" t="s">
        <x:v>30</x:v>
      </x:c>
      <x:c r="B157" s="2" t="s">
        <x:v>123</x:v>
      </x:c>
      <x:c r="C157" s="2">
        <x:v>4</x:v>
      </x:c>
      <x:c r="D157" s="2" t="s">
        <x:v>305</x:v>
      </x:c>
      <x:c r="E157" s="2" t="s">
        <x:v>306</x:v>
      </x:c>
      <x:c r="F157" s="7">
        <x:v>8.2849999999999993E-2</x:v>
      </x:c>
      <x:c r="G157" s="2" t="s">
        <x:v>304</x:v>
      </x:c>
      <x:c r="H157" s="8">
        <x:v>0.3</x:v>
      </x:c>
      <x:c r="I157" s="9" t="n">
        <x:f t="shared" si="2">IFERROR(ABS(F157)/H157,"")</x:f>
        <x:v>0.27616666666666667</x:v>
      </x:c>
      <x:c r="J157" s="2" t="s">
        <x:v>298</x:v>
      </x:c>
      <x:c r="K157" s="8">
        <x:v>0.94045000000000001</x:v>
      </x:c>
      <x:c r="L157" s="2" t="s">
        <x:v>299</x:v>
      </x:c>
      <x:c r="M157" s="2">
        <x:v>1</x:v>
      </x:c>
      <x:c r="N157" s="2" t="s">
        <x:v>79</x:v>
      </x:c>
      <x:c r="O157" s="5">
        <x:v>58.1</x:v>
      </x:c>
      <x:c r="P157" s="2">
        <x:v>358</x:v>
      </x:c>
      <x:c r="Q157" s="2" t="n">
        <x:f>IF(OR(J157="positive",J157="negative"),1,0)</x:f>
        <x:v>1</x:v>
      </x:c>
    </x:row>
    <x:row r="158" ht="15">
      <x:c r="A158" s="2" t="s">
        <x:v>30</x:v>
      </x:c>
      <x:c r="B158" s="2" t="s">
        <x:v>124</x:v>
      </x:c>
      <x:c r="C158" s="2">
        <x:v>5</x:v>
      </x:c>
      <x:c r="D158" s="2" t="s">
        <x:v>295</x:v>
      </x:c>
      <x:c r="E158" s="2" t="s">
        <x:v>296</x:v>
      </x:c>
      <x:c r="F158" s="7">
        <x:v>0.61482000000000003</x:v>
      </x:c>
      <x:c r="G158" s="2" t="s">
        <x:v>297</x:v>
      </x:c>
      <x:c r="H158" s="8">
        <x:v>3.5</x:v>
      </x:c>
      <x:c r="I158" s="9" t="n">
        <x:f t="shared" si="2">IFERROR(ABS(F158)/H158,"")</x:f>
        <x:v>0.17566285714285715</x:v>
      </x:c>
      <x:c r="J158" s="2" t="s">
        <x:v>298</x:v>
      </x:c>
      <x:c r="K158" s="8">
        <x:v>0.91139000000000003</x:v>
      </x:c>
      <x:c r="L158" s="2" t="s">
        <x:v>299</x:v>
      </x:c>
      <x:c r="M158" s="2">
        <x:v>1</x:v>
      </x:c>
      <x:c r="N158" s="2" t="s">
        <x:v>79</x:v>
      </x:c>
      <x:c r="O158" s="5">
        <x:v>56.8</x:v>
      </x:c>
      <x:c r="P158" s="2">
        <x:v>494</x:v>
      </x:c>
      <x:c r="Q158" s="2" t="n">
        <x:f>IF(OR(J158="positive",J158="negative"),1,0)</x:f>
        <x:v>1</x:v>
      </x:c>
    </x:row>
    <x:row r="159" ht="15">
      <x:c r="A159" s="2" t="s">
        <x:v>30</x:v>
      </x:c>
      <x:c r="B159" s="2" t="s">
        <x:v>124</x:v>
      </x:c>
      <x:c r="C159" s="2">
        <x:v>5</x:v>
      </x:c>
      <x:c r="D159" s="2" t="s">
        <x:v>300</x:v>
      </x:c>
      <x:c r="E159" s="2" t="s">
        <x:v>301</x:v>
      </x:c>
      <x:c r="F159" s="7">
        <x:v>1.435E-2</x:v>
      </x:c>
      <x:c r="G159" s="2" t="s">
        <x:v>302</x:v>
      </x:c>
      <x:c r="H159" s="8">
        <x:v>0.45</x:v>
      </x:c>
      <x:c r="I159" s="9" t="n">
        <x:f t="shared" si="2">IFERROR(ABS(F159)/H159,"")</x:f>
        <x:v>0.03188888888888889</x:v>
      </x:c>
      <x:c r="J159" s="2" t="s">
        <x:v>298</x:v>
      </x:c>
      <x:c r="K159" s="8">
        <x:v>0.90978999999999999</x:v>
      </x:c>
      <x:c r="L159" s="2" t="s">
        <x:v>299</x:v>
      </x:c>
      <x:c r="M159" s="2">
        <x:v>1</x:v>
      </x:c>
      <x:c r="N159" s="2" t="s">
        <x:v>79</x:v>
      </x:c>
      <x:c r="O159" s="5">
        <x:v>56.8</x:v>
      </x:c>
      <x:c r="P159" s="2">
        <x:v>494</x:v>
      </x:c>
      <x:c r="Q159" s="2" t="n">
        <x:f>IF(OR(J159="positive",J159="negative"),1,0)</x:f>
        <x:v>1</x:v>
      </x:c>
    </x:row>
    <x:row r="160" ht="15">
      <x:c r="A160" s="2" t="s">
        <x:v>30</x:v>
      </x:c>
      <x:c r="B160" s="2" t="s">
        <x:v>124</x:v>
      </x:c>
      <x:c r="C160" s="2">
        <x:v>5</x:v>
      </x:c>
      <x:c r="D160" s="2" t="s">
        <x:v>18</x:v>
      </x:c>
      <x:c r="E160" s="2" t="s">
        <x:v>303</x:v>
      </x:c>
      <x:c r="F160" s="7">
        <x:v>1.83E-3</x:v>
      </x:c>
      <x:c r="G160" s="2" t="s">
        <x:v>304</x:v>
      </x:c>
      <x:c r="H160" s="8">
        <x:v>7.4999999999999997E-2</x:v>
      </x:c>
      <x:c r="I160" s="9" t="n">
        <x:f t="shared" si="2">IFERROR(ABS(F160)/H160,"")</x:f>
        <x:v>0.0244</x:v>
      </x:c>
      <x:c r="J160" s="2" t="s">
        <x:v>298</x:v>
      </x:c>
      <x:c r="K160" s="8">
        <x:v>0.89109000000000005</x:v>
      </x:c>
      <x:c r="L160" s="2" t="s">
        <x:v>299</x:v>
      </x:c>
      <x:c r="M160" s="2">
        <x:v>1</x:v>
      </x:c>
      <x:c r="N160" s="2" t="s">
        <x:v>79</x:v>
      </x:c>
      <x:c r="O160" s="5">
        <x:v>56.8</x:v>
      </x:c>
      <x:c r="P160" s="2">
        <x:v>494</x:v>
      </x:c>
      <x:c r="Q160" s="2" t="n">
        <x:f>IF(OR(J160="positive",J160="negative"),1,0)</x:f>
        <x:v>1</x:v>
      </x:c>
    </x:row>
    <x:row r="161" ht="15">
      <x:c r="A161" s="2" t="s">
        <x:v>30</x:v>
      </x:c>
      <x:c r="B161" s="2" t="s">
        <x:v>124</x:v>
      </x:c>
      <x:c r="C161" s="2">
        <x:v>5</x:v>
      </x:c>
      <x:c r="D161" s="2" t="s">
        <x:v>305</x:v>
      </x:c>
      <x:c r="E161" s="2" t="s">
        <x:v>306</x:v>
      </x:c>
      <x:c r="F161" s="7">
        <x:v>0.10063999999999999</x:v>
      </x:c>
      <x:c r="G161" s="2" t="s">
        <x:v>304</x:v>
      </x:c>
      <x:c r="H161" s="8">
        <x:v>0.3</x:v>
      </x:c>
      <x:c r="I161" s="9" t="n">
        <x:f t="shared" si="2">IFERROR(ABS(F161)/H161,"")</x:f>
        <x:v>0.33546666666666664</x:v>
      </x:c>
      <x:c r="J161" s="2" t="s">
        <x:v>307</x:v>
      </x:c>
      <x:c r="K161" s="8">
        <x:v>0.57033999999999996</x:v>
      </x:c>
      <x:c r="L161" s="2" t="s">
        <x:v>313</x:v>
      </x:c>
      <x:c r="M161" s="2">
        <x:v>1</x:v>
      </x:c>
      <x:c r="N161" s="2" t="s">
        <x:v>79</x:v>
      </x:c>
      <x:c r="O161" s="5">
        <x:v>56.8</x:v>
      </x:c>
      <x:c r="P161" s="2">
        <x:v>494</x:v>
      </x:c>
      <x:c r="Q161" s="2" t="n">
        <x:f>IF(OR(J161="positive",J161="negative"),1,0)</x:f>
        <x:v>0</x:v>
      </x:c>
    </x:row>
    <x:row r="162" ht="15">
      <x:c r="A162" s="2" t="s">
        <x:v>31</x:v>
      </x:c>
      <x:c r="B162" s="2" t="s">
        <x:v>125</x:v>
      </x:c>
      <x:c r="C162" s="2">
        <x:v>1</x:v>
      </x:c>
      <x:c r="D162" s="2" t="s">
        <x:v>295</x:v>
      </x:c>
      <x:c r="E162" s="2" t="s">
        <x:v>296</x:v>
      </x:c>
      <x:c r="F162" s="7">
        <x:v>0.72567999999999999</x:v>
      </x:c>
      <x:c r="G162" s="2" t="s">
        <x:v>297</x:v>
      </x:c>
      <x:c r="H162" s="8">
        <x:v>3.5</x:v>
      </x:c>
      <x:c r="I162" s="9" t="n">
        <x:f t="shared" si="2">IFERROR(ABS(F162)/H162,"")</x:f>
        <x:v>0.20733714285714286</x:v>
      </x:c>
      <x:c r="J162" s="2" t="s">
        <x:v>298</x:v>
      </x:c>
      <x:c r="K162" s="8">
        <x:v>0.97226999999999997</x:v>
      </x:c>
      <x:c r="L162" s="2" t="s">
        <x:v>299</x:v>
      </x:c>
      <x:c r="M162" s="2">
        <x:v>1</x:v>
      </x:c>
      <x:c r="N162" s="2" t="s">
        <x:v>79</x:v>
      </x:c>
      <x:c r="O162" s="5">
        <x:v>59.1</x:v>
      </x:c>
      <x:c r="P162" s="2">
        <x:v>395</x:v>
      </x:c>
      <x:c r="Q162" s="2" t="n">
        <x:f>IF(OR(J162="positive",J162="negative"),1,0)</x:f>
        <x:v>1</x:v>
      </x:c>
    </x:row>
    <x:row r="163" ht="15">
      <x:c r="A163" s="2" t="s">
        <x:v>31</x:v>
      </x:c>
      <x:c r="B163" s="2" t="s">
        <x:v>125</x:v>
      </x:c>
      <x:c r="C163" s="2">
        <x:v>1</x:v>
      </x:c>
      <x:c r="D163" s="2" t="s">
        <x:v>300</x:v>
      </x:c>
      <x:c r="E163" s="2" t="s">
        <x:v>301</x:v>
      </x:c>
      <x:c r="F163" s="7">
        <x:v>0.11042</x:v>
      </x:c>
      <x:c r="G163" s="2" t="s">
        <x:v>302</x:v>
      </x:c>
      <x:c r="H163" s="8">
        <x:v>0.45</x:v>
      </x:c>
      <x:c r="I163" s="9" t="n">
        <x:f t="shared" si="2">IFERROR(ABS(F163)/H163,"")</x:f>
        <x:v>0.24537777777777778</x:v>
      </x:c>
      <x:c r="J163" s="2" t="s">
        <x:v>298</x:v>
      </x:c>
      <x:c r="K163" s="8">
        <x:v>0.98106000000000004</x:v>
      </x:c>
      <x:c r="L163" s="2" t="s">
        <x:v>299</x:v>
      </x:c>
      <x:c r="M163" s="2">
        <x:v>1</x:v>
      </x:c>
      <x:c r="N163" s="2" t="s">
        <x:v>79</x:v>
      </x:c>
      <x:c r="O163" s="5">
        <x:v>59.1</x:v>
      </x:c>
      <x:c r="P163" s="2">
        <x:v>395</x:v>
      </x:c>
      <x:c r="Q163" s="2" t="n">
        <x:f>IF(OR(J163="positive",J163="negative"),1,0)</x:f>
        <x:v>1</x:v>
      </x:c>
    </x:row>
    <x:row r="164" ht="15">
      <x:c r="A164" s="2" t="s">
        <x:v>31</x:v>
      </x:c>
      <x:c r="B164" s="2" t="s">
        <x:v>125</x:v>
      </x:c>
      <x:c r="C164" s="2">
        <x:v>1</x:v>
      </x:c>
      <x:c r="D164" s="2" t="s">
        <x:v>18</x:v>
      </x:c>
      <x:c r="E164" s="2" t="s">
        <x:v>303</x:v>
      </x:c>
      <x:c r="F164" s="7">
        <x:v>-3.98E-3</x:v>
      </x:c>
      <x:c r="G164" s="2" t="s">
        <x:v>304</x:v>
      </x:c>
      <x:c r="H164" s="8">
        <x:v>7.4999999999999997E-2</x:v>
      </x:c>
      <x:c r="I164" s="9" t="n">
        <x:f t="shared" si="2">IFERROR(ABS(F164)/H164,"")</x:f>
        <x:v>0.05306666666666667</x:v>
      </x:c>
      <x:c r="J164" s="2" t="s">
        <x:v>298</x:v>
      </x:c>
      <x:c r="K164" s="8">
        <x:v>0.95755000000000001</x:v>
      </x:c>
      <x:c r="L164" s="2" t="s">
        <x:v>299</x:v>
      </x:c>
      <x:c r="M164" s="2">
        <x:v>1</x:v>
      </x:c>
      <x:c r="N164" s="2" t="s">
        <x:v>79</x:v>
      </x:c>
      <x:c r="O164" s="5">
        <x:v>59.1</x:v>
      </x:c>
      <x:c r="P164" s="2">
        <x:v>395</x:v>
      </x:c>
      <x:c r="Q164" s="2" t="n">
        <x:f>IF(OR(J164="positive",J164="negative"),1,0)</x:f>
        <x:v>1</x:v>
      </x:c>
    </x:row>
    <x:row r="165" ht="15">
      <x:c r="A165" s="2" t="s">
        <x:v>31</x:v>
      </x:c>
      <x:c r="B165" s="2" t="s">
        <x:v>125</x:v>
      </x:c>
      <x:c r="C165" s="2">
        <x:v>1</x:v>
      </x:c>
      <x:c r="D165" s="2" t="s">
        <x:v>305</x:v>
      </x:c>
      <x:c r="E165" s="2" t="s">
        <x:v>306</x:v>
      </x:c>
      <x:c r="F165" s="7">
        <x:v>-1.2930000000000001E-2</x:v>
      </x:c>
      <x:c r="G165" s="2" t="s">
        <x:v>304</x:v>
      </x:c>
      <x:c r="H165" s="8">
        <x:v>0.3</x:v>
      </x:c>
      <x:c r="I165" s="9" t="n">
        <x:f t="shared" si="2">IFERROR(ABS(F165)/H165,"")</x:f>
        <x:v>0.043100000000000006</x:v>
      </x:c>
      <x:c r="J165" s="2" t="s">
        <x:v>298</x:v>
      </x:c>
      <x:c r="K165" s="8">
        <x:v>0.96457000000000004</x:v>
      </x:c>
      <x:c r="L165" s="2" t="s">
        <x:v>299</x:v>
      </x:c>
      <x:c r="M165" s="2">
        <x:v>1</x:v>
      </x:c>
      <x:c r="N165" s="2" t="s">
        <x:v>79</x:v>
      </x:c>
      <x:c r="O165" s="5">
        <x:v>59.1</x:v>
      </x:c>
      <x:c r="P165" s="2">
        <x:v>395</x:v>
      </x:c>
      <x:c r="Q165" s="2" t="n">
        <x:f>IF(OR(J165="positive",J165="negative"),1,0)</x:f>
        <x:v>1</x:v>
      </x:c>
    </x:row>
    <x:row r="166" ht="15">
      <x:c r="A166" s="2" t="s">
        <x:v>31</x:v>
      </x:c>
      <x:c r="B166" s="2" t="s">
        <x:v>126</x:v>
      </x:c>
      <x:c r="C166" s="2">
        <x:v>2</x:v>
      </x:c>
      <x:c r="D166" s="2" t="s">
        <x:v>295</x:v>
      </x:c>
      <x:c r="E166" s="2" t="s">
        <x:v>296</x:v>
      </x:c>
      <x:c r="F166" s="7">
        <x:v>0.37097999999999998</x:v>
      </x:c>
      <x:c r="G166" s="2" t="s">
        <x:v>297</x:v>
      </x:c>
      <x:c r="H166" s="8">
        <x:v>3.5</x:v>
      </x:c>
      <x:c r="I166" s="9" t="n">
        <x:f t="shared" si="2">IFERROR(ABS(F166)/H166,"")</x:f>
        <x:v>0.10599428571428571</x:v>
      </x:c>
      <x:c r="J166" s="2" t="s">
        <x:v>298</x:v>
      </x:c>
      <x:c r="K166" s="8">
        <x:v>0.9657</x:v>
      </x:c>
      <x:c r="L166" s="2" t="s">
        <x:v>299</x:v>
      </x:c>
      <x:c r="M166" s="2">
        <x:v>1</x:v>
      </x:c>
      <x:c r="N166" s="2" t="s">
        <x:v>79</x:v>
      </x:c>
      <x:c r="O166" s="5">
        <x:v>57.2</x:v>
      </x:c>
      <x:c r="P166" s="2">
        <x:v>461</x:v>
      </x:c>
      <x:c r="Q166" s="2" t="n">
        <x:f>IF(OR(J166="positive",J166="negative"),1,0)</x:f>
        <x:v>1</x:v>
      </x:c>
    </x:row>
    <x:row r="167" ht="15">
      <x:c r="A167" s="2" t="s">
        <x:v>31</x:v>
      </x:c>
      <x:c r="B167" s="2" t="s">
        <x:v>126</x:v>
      </x:c>
      <x:c r="C167" s="2">
        <x:v>2</x:v>
      </x:c>
      <x:c r="D167" s="2" t="s">
        <x:v>300</x:v>
      </x:c>
      <x:c r="E167" s="2" t="s">
        <x:v>301</x:v>
      </x:c>
      <x:c r="F167" s="7">
        <x:v>8.7639999999999996E-2</x:v>
      </x:c>
      <x:c r="G167" s="2" t="s">
        <x:v>302</x:v>
      </x:c>
      <x:c r="H167" s="8">
        <x:v>0.45</x:v>
      </x:c>
      <x:c r="I167" s="9" t="n">
        <x:f t="shared" si="2">IFERROR(ABS(F167)/H167,"")</x:f>
        <x:v>0.19475555555555554</x:v>
      </x:c>
      <x:c r="J167" s="2" t="s">
        <x:v>298</x:v>
      </x:c>
      <x:c r="K167" s="8">
        <x:v>0.95474000000000003</x:v>
      </x:c>
      <x:c r="L167" s="2" t="s">
        <x:v>299</x:v>
      </x:c>
      <x:c r="M167" s="2">
        <x:v>1</x:v>
      </x:c>
      <x:c r="N167" s="2" t="s">
        <x:v>79</x:v>
      </x:c>
      <x:c r="O167" s="5">
        <x:v>57.2</x:v>
      </x:c>
      <x:c r="P167" s="2">
        <x:v>461</x:v>
      </x:c>
      <x:c r="Q167" s="2" t="n">
        <x:f>IF(OR(J167="positive",J167="negative"),1,0)</x:f>
        <x:v>1</x:v>
      </x:c>
    </x:row>
    <x:row r="168" ht="15">
      <x:c r="A168" s="2" t="s">
        <x:v>31</x:v>
      </x:c>
      <x:c r="B168" s="2" t="s">
        <x:v>126</x:v>
      </x:c>
      <x:c r="C168" s="2">
        <x:v>2</x:v>
      </x:c>
      <x:c r="D168" s="2" t="s">
        <x:v>18</x:v>
      </x:c>
      <x:c r="E168" s="2" t="s">
        <x:v>303</x:v>
      </x:c>
      <x:c r="F168" s="7">
        <x:v>-1.537E-2</x:v>
      </x:c>
      <x:c r="G168" s="2" t="s">
        <x:v>304</x:v>
      </x:c>
      <x:c r="H168" s="8">
        <x:v>7.4999999999999997E-2</x:v>
      </x:c>
      <x:c r="I168" s="9" t="n">
        <x:f t="shared" si="2">IFERROR(ABS(F168)/H168,"")</x:f>
        <x:v>0.20493333333333333</x:v>
      </x:c>
      <x:c r="J168" s="2" t="s">
        <x:v>298</x:v>
      </x:c>
      <x:c r="K168" s="8">
        <x:v>0.95489999999999997</x:v>
      </x:c>
      <x:c r="L168" s="2" t="s">
        <x:v>299</x:v>
      </x:c>
      <x:c r="M168" s="2">
        <x:v>1</x:v>
      </x:c>
      <x:c r="N168" s="2" t="s">
        <x:v>79</x:v>
      </x:c>
      <x:c r="O168" s="5">
        <x:v>57.2</x:v>
      </x:c>
      <x:c r="P168" s="2">
        <x:v>461</x:v>
      </x:c>
      <x:c r="Q168" s="2" t="n">
        <x:f>IF(OR(J168="positive",J168="negative"),1,0)</x:f>
        <x:v>1</x:v>
      </x:c>
    </x:row>
    <x:row r="169" ht="15">
      <x:c r="A169" s="2" t="s">
        <x:v>31</x:v>
      </x:c>
      <x:c r="B169" s="2" t="s">
        <x:v>126</x:v>
      </x:c>
      <x:c r="C169" s="2">
        <x:v>2</x:v>
      </x:c>
      <x:c r="D169" s="2" t="s">
        <x:v>305</x:v>
      </x:c>
      <x:c r="E169" s="2" t="s">
        <x:v>306</x:v>
      </x:c>
      <x:c r="F169" s="7">
        <x:v>-4.5799999999999999E-3</x:v>
      </x:c>
      <x:c r="G169" s="2" t="s">
        <x:v>304</x:v>
      </x:c>
      <x:c r="H169" s="8">
        <x:v>0.3</x:v>
      </x:c>
      <x:c r="I169" s="9" t="n">
        <x:f t="shared" si="2">IFERROR(ABS(F169)/H169,"")</x:f>
        <x:v>0.015266666666666666</x:v>
      </x:c>
      <x:c r="J169" s="2" t="s">
        <x:v>298</x:v>
      </x:c>
      <x:c r="K169" s="8">
        <x:v>0.91690000000000005</x:v>
      </x:c>
      <x:c r="L169" s="2" t="s">
        <x:v>299</x:v>
      </x:c>
      <x:c r="M169" s="2">
        <x:v>1</x:v>
      </x:c>
      <x:c r="N169" s="2" t="s">
        <x:v>79</x:v>
      </x:c>
      <x:c r="O169" s="5">
        <x:v>57.2</x:v>
      </x:c>
      <x:c r="P169" s="2">
        <x:v>461</x:v>
      </x:c>
      <x:c r="Q169" s="2" t="n">
        <x:f>IF(OR(J169="positive",J169="negative"),1,0)</x:f>
        <x:v>1</x:v>
      </x:c>
    </x:row>
    <x:row r="170" ht="15">
      <x:c r="A170" s="2" t="s">
        <x:v>31</x:v>
      </x:c>
      <x:c r="B170" s="2" t="s">
        <x:v>127</x:v>
      </x:c>
      <x:c r="C170" s="2">
        <x:v>3</x:v>
      </x:c>
      <x:c r="D170" s="2" t="s">
        <x:v>295</x:v>
      </x:c>
      <x:c r="E170" s="2" t="s">
        <x:v>296</x:v>
      </x:c>
      <x:c r="F170" s="7">
        <x:v>0.84489000000000003</x:v>
      </x:c>
      <x:c r="G170" s="2" t="s">
        <x:v>297</x:v>
      </x:c>
      <x:c r="H170" s="8">
        <x:v>3.5</x:v>
      </x:c>
      <x:c r="I170" s="9" t="n">
        <x:f t="shared" si="2">IFERROR(ABS(F170)/H170,"")</x:f>
        <x:v>0.24139714285714287</x:v>
      </x:c>
      <x:c r="J170" s="2" t="s">
        <x:v>298</x:v>
      </x:c>
      <x:c r="K170" s="8">
        <x:v>0.97735000000000005</x:v>
      </x:c>
      <x:c r="L170" s="2" t="s">
        <x:v>299</x:v>
      </x:c>
      <x:c r="M170" s="2">
        <x:v>1</x:v>
      </x:c>
      <x:c r="N170" s="2" t="s">
        <x:v>79</x:v>
      </x:c>
      <x:c r="O170" s="5">
        <x:v>56.6</x:v>
      </x:c>
      <x:c r="P170" s="2">
        <x:v>349</x:v>
      </x:c>
      <x:c r="Q170" s="2" t="n">
        <x:f>IF(OR(J170="positive",J170="negative"),1,0)</x:f>
        <x:v>1</x:v>
      </x:c>
    </x:row>
    <x:row r="171" ht="15">
      <x:c r="A171" s="2" t="s">
        <x:v>31</x:v>
      </x:c>
      <x:c r="B171" s="2" t="s">
        <x:v>127</x:v>
      </x:c>
      <x:c r="C171" s="2">
        <x:v>3</x:v>
      </x:c>
      <x:c r="D171" s="2" t="s">
        <x:v>300</x:v>
      </x:c>
      <x:c r="E171" s="2" t="s">
        <x:v>301</x:v>
      </x:c>
      <x:c r="F171" s="7">
        <x:v>7.4889999999999998E-2</x:v>
      </x:c>
      <x:c r="G171" s="2" t="s">
        <x:v>302</x:v>
      </x:c>
      <x:c r="H171" s="8">
        <x:v>0.45</x:v>
      </x:c>
      <x:c r="I171" s="9" t="n">
        <x:f t="shared" si="2">IFERROR(ABS(F171)/H171,"")</x:f>
        <x:v>0.16642222222222222</x:v>
      </x:c>
      <x:c r="J171" s="2" t="s">
        <x:v>298</x:v>
      </x:c>
      <x:c r="K171" s="8">
        <x:v>0.95764000000000005</x:v>
      </x:c>
      <x:c r="L171" s="2" t="s">
        <x:v>299</x:v>
      </x:c>
      <x:c r="M171" s="2">
        <x:v>1</x:v>
      </x:c>
      <x:c r="N171" s="2" t="s">
        <x:v>79</x:v>
      </x:c>
      <x:c r="O171" s="5">
        <x:v>56.6</x:v>
      </x:c>
      <x:c r="P171" s="2">
        <x:v>349</x:v>
      </x:c>
      <x:c r="Q171" s="2" t="n">
        <x:f>IF(OR(J171="positive",J171="negative"),1,0)</x:f>
        <x:v>1</x:v>
      </x:c>
    </x:row>
    <x:row r="172" ht="15">
      <x:c r="A172" s="2" t="s">
        <x:v>31</x:v>
      </x:c>
      <x:c r="B172" s="2" t="s">
        <x:v>127</x:v>
      </x:c>
      <x:c r="C172" s="2">
        <x:v>3</x:v>
      </x:c>
      <x:c r="D172" s="2" t="s">
        <x:v>18</x:v>
      </x:c>
      <x:c r="E172" s="2" t="s">
        <x:v>303</x:v>
      </x:c>
      <x:c r="F172" s="7">
        <x:v>-7.3400000000000002E-3</x:v>
      </x:c>
      <x:c r="G172" s="2" t="s">
        <x:v>304</x:v>
      </x:c>
      <x:c r="H172" s="8">
        <x:v>7.4999999999999997E-2</x:v>
      </x:c>
      <x:c r="I172" s="9" t="n">
        <x:f t="shared" si="2">IFERROR(ABS(F172)/H172,"")</x:f>
        <x:v>0.09786666666666667</x:v>
      </x:c>
      <x:c r="J172" s="2" t="s">
        <x:v>298</x:v>
      </x:c>
      <x:c r="K172" s="8">
        <x:v>0.94293000000000005</x:v>
      </x:c>
      <x:c r="L172" s="2" t="s">
        <x:v>299</x:v>
      </x:c>
      <x:c r="M172" s="2">
        <x:v>1</x:v>
      </x:c>
      <x:c r="N172" s="2" t="s">
        <x:v>79</x:v>
      </x:c>
      <x:c r="O172" s="5">
        <x:v>56.6</x:v>
      </x:c>
      <x:c r="P172" s="2">
        <x:v>349</x:v>
      </x:c>
      <x:c r="Q172" s="2" t="n">
        <x:f>IF(OR(J172="positive",J172="negative"),1,0)</x:f>
        <x:v>1</x:v>
      </x:c>
    </x:row>
    <x:row r="173" ht="15">
      <x:c r="A173" s="2" t="s">
        <x:v>31</x:v>
      </x:c>
      <x:c r="B173" s="2" t="s">
        <x:v>127</x:v>
      </x:c>
      <x:c r="C173" s="2">
        <x:v>3</x:v>
      </x:c>
      <x:c r="D173" s="2" t="s">
        <x:v>305</x:v>
      </x:c>
      <x:c r="E173" s="2" t="s">
        <x:v>306</x:v>
      </x:c>
      <x:c r="F173" s="7">
        <x:v>-5.774E-2</x:v>
      </x:c>
      <x:c r="G173" s="2" t="s">
        <x:v>304</x:v>
      </x:c>
      <x:c r="H173" s="8">
        <x:v>0.3</x:v>
      </x:c>
      <x:c r="I173" s="9" t="n">
        <x:f t="shared" si="2">IFERROR(ABS(F173)/H173,"")</x:f>
        <x:v>0.19246666666666667</x:v>
      </x:c>
      <x:c r="J173" s="2" t="s">
        <x:v>298</x:v>
      </x:c>
      <x:c r="K173" s="8">
        <x:v>0.94338</x:v>
      </x:c>
      <x:c r="L173" s="2" t="s">
        <x:v>299</x:v>
      </x:c>
      <x:c r="M173" s="2">
        <x:v>1</x:v>
      </x:c>
      <x:c r="N173" s="2" t="s">
        <x:v>79</x:v>
      </x:c>
      <x:c r="O173" s="5">
        <x:v>56.6</x:v>
      </x:c>
      <x:c r="P173" s="2">
        <x:v>349</x:v>
      </x:c>
      <x:c r="Q173" s="2" t="n">
        <x:f>IF(OR(J173="positive",J173="negative"),1,0)</x:f>
        <x:v>1</x:v>
      </x:c>
    </x:row>
    <x:row r="174" ht="15">
      <x:c r="A174" s="2" t="s">
        <x:v>31</x:v>
      </x:c>
      <x:c r="B174" s="2" t="s">
        <x:v>128</x:v>
      </x:c>
      <x:c r="C174" s="2">
        <x:v>4</x:v>
      </x:c>
      <x:c r="D174" s="2" t="s">
        <x:v>295</x:v>
      </x:c>
      <x:c r="E174" s="2" t="s">
        <x:v>296</x:v>
      </x:c>
      <x:c r="F174" s="7">
        <x:v>0.48824000000000001</x:v>
      </x:c>
      <x:c r="G174" s="2" t="s">
        <x:v>297</x:v>
      </x:c>
      <x:c r="H174" s="8">
        <x:v>3.5</x:v>
      </x:c>
      <x:c r="I174" s="9" t="n">
        <x:f t="shared" si="2">IFERROR(ABS(F174)/H174,"")</x:f>
        <x:v>0.13949714285714285</x:v>
      </x:c>
      <x:c r="J174" s="2" t="s">
        <x:v>298</x:v>
      </x:c>
      <x:c r="K174" s="8">
        <x:v>0.90669</x:v>
      </x:c>
      <x:c r="L174" s="2" t="s">
        <x:v>299</x:v>
      </x:c>
      <x:c r="M174" s="2">
        <x:v>1</x:v>
      </x:c>
      <x:c r="N174" s="2" t="s">
        <x:v>79</x:v>
      </x:c>
      <x:c r="O174" s="5">
        <x:v>58.1</x:v>
      </x:c>
      <x:c r="P174" s="2">
        <x:v>408</x:v>
      </x:c>
      <x:c r="Q174" s="2" t="n">
        <x:f>IF(OR(J174="positive",J174="negative"),1,0)</x:f>
        <x:v>1</x:v>
      </x:c>
    </x:row>
    <x:row r="175" ht="15">
      <x:c r="A175" s="2" t="s">
        <x:v>31</x:v>
      </x:c>
      <x:c r="B175" s="2" t="s">
        <x:v>128</x:v>
      </x:c>
      <x:c r="C175" s="2">
        <x:v>4</x:v>
      </x:c>
      <x:c r="D175" s="2" t="s">
        <x:v>300</x:v>
      </x:c>
      <x:c r="E175" s="2" t="s">
        <x:v>301</x:v>
      </x:c>
      <x:c r="F175" s="7">
        <x:v>7.7859999999999999E-2</x:v>
      </x:c>
      <x:c r="G175" s="2" t="s">
        <x:v>302</x:v>
      </x:c>
      <x:c r="H175" s="8">
        <x:v>0.45</x:v>
      </x:c>
      <x:c r="I175" s="9" t="n">
        <x:f t="shared" si="2">IFERROR(ABS(F175)/H175,"")</x:f>
        <x:v>0.17302222222222222</x:v>
      </x:c>
      <x:c r="J175" s="2" t="s">
        <x:v>298</x:v>
      </x:c>
      <x:c r="K175" s="8">
        <x:v>0.97741999999999996</x:v>
      </x:c>
      <x:c r="L175" s="2" t="s">
        <x:v>299</x:v>
      </x:c>
      <x:c r="M175" s="2">
        <x:v>1</x:v>
      </x:c>
      <x:c r="N175" s="2" t="s">
        <x:v>79</x:v>
      </x:c>
      <x:c r="O175" s="5">
        <x:v>58.1</x:v>
      </x:c>
      <x:c r="P175" s="2">
        <x:v>408</x:v>
      </x:c>
      <x:c r="Q175" s="2" t="n">
        <x:f>IF(OR(J175="positive",J175="negative"),1,0)</x:f>
        <x:v>1</x:v>
      </x:c>
    </x:row>
    <x:row r="176" ht="15">
      <x:c r="A176" s="2" t="s">
        <x:v>31</x:v>
      </x:c>
      <x:c r="B176" s="2" t="s">
        <x:v>128</x:v>
      </x:c>
      <x:c r="C176" s="2">
        <x:v>4</x:v>
      </x:c>
      <x:c r="D176" s="2" t="s">
        <x:v>18</x:v>
      </x:c>
      <x:c r="E176" s="2" t="s">
        <x:v>303</x:v>
      </x:c>
      <x:c r="F176" s="7">
        <x:v>-2.2899999999999999E-3</x:v>
      </x:c>
      <x:c r="G176" s="2" t="s">
        <x:v>304</x:v>
      </x:c>
      <x:c r="H176" s="8">
        <x:v>7.4999999999999997E-2</x:v>
      </x:c>
      <x:c r="I176" s="9" t="n">
        <x:f t="shared" si="2">IFERROR(ABS(F176)/H176,"")</x:f>
        <x:v>0.030533333333333332</x:v>
      </x:c>
      <x:c r="J176" s="2" t="s">
        <x:v>298</x:v>
      </x:c>
      <x:c r="K176" s="8">
        <x:v>0.96725000000000005</x:v>
      </x:c>
      <x:c r="L176" s="2" t="s">
        <x:v>299</x:v>
      </x:c>
      <x:c r="M176" s="2">
        <x:v>1</x:v>
      </x:c>
      <x:c r="N176" s="2" t="s">
        <x:v>79</x:v>
      </x:c>
      <x:c r="O176" s="5">
        <x:v>58.1</x:v>
      </x:c>
      <x:c r="P176" s="2">
        <x:v>408</x:v>
      </x:c>
      <x:c r="Q176" s="2" t="n">
        <x:f>IF(OR(J176="positive",J176="negative"),1,0)</x:f>
        <x:v>1</x:v>
      </x:c>
    </x:row>
    <x:row r="177" ht="15">
      <x:c r="A177" s="2" t="s">
        <x:v>31</x:v>
      </x:c>
      <x:c r="B177" s="2" t="s">
        <x:v>128</x:v>
      </x:c>
      <x:c r="C177" s="2">
        <x:v>4</x:v>
      </x:c>
      <x:c r="D177" s="2" t="s">
        <x:v>305</x:v>
      </x:c>
      <x:c r="E177" s="2" t="s">
        <x:v>306</x:v>
      </x:c>
      <x:c r="F177" s="7">
        <x:v>-2.5510000000000001E-2</x:v>
      </x:c>
      <x:c r="G177" s="2" t="s">
        <x:v>304</x:v>
      </x:c>
      <x:c r="H177" s="8">
        <x:v>0.3</x:v>
      </x:c>
      <x:c r="I177" s="9" t="n">
        <x:f t="shared" si="2">IFERROR(ABS(F177)/H177,"")</x:f>
        <x:v>0.08503333333333334</x:v>
      </x:c>
      <x:c r="J177" s="2" t="s">
        <x:v>298</x:v>
      </x:c>
      <x:c r="K177" s="8">
        <x:v>0.93511999999999995</x:v>
      </x:c>
      <x:c r="L177" s="2" t="s">
        <x:v>299</x:v>
      </x:c>
      <x:c r="M177" s="2">
        <x:v>1</x:v>
      </x:c>
      <x:c r="N177" s="2" t="s">
        <x:v>79</x:v>
      </x:c>
      <x:c r="O177" s="5">
        <x:v>58.1</x:v>
      </x:c>
      <x:c r="P177" s="2">
        <x:v>408</x:v>
      </x:c>
      <x:c r="Q177" s="2" t="n">
        <x:f>IF(OR(J177="positive",J177="negative"),1,0)</x:f>
        <x:v>1</x:v>
      </x:c>
    </x:row>
    <x:row r="178" ht="15">
      <x:c r="A178" s="2" t="s">
        <x:v>31</x:v>
      </x:c>
      <x:c r="B178" s="2" t="s">
        <x:v>129</x:v>
      </x:c>
      <x:c r="C178" s="2">
        <x:v>5</x:v>
      </x:c>
      <x:c r="D178" s="2" t="s">
        <x:v>295</x:v>
      </x:c>
      <x:c r="E178" s="2" t="s">
        <x:v>296</x:v>
      </x:c>
      <x:c r="F178" s="7">
        <x:v>0.53613</x:v>
      </x:c>
      <x:c r="G178" s="2" t="s">
        <x:v>297</x:v>
      </x:c>
      <x:c r="H178" s="8">
        <x:v>3.5</x:v>
      </x:c>
      <x:c r="I178" s="9" t="n">
        <x:f t="shared" si="2">IFERROR(ABS(F178)/H178,"")</x:f>
        <x:v>0.15318</x:v>
      </x:c>
      <x:c r="J178" s="2" t="s">
        <x:v>298</x:v>
      </x:c>
      <x:c r="K178" s="8">
        <x:v>0.92798999999999998</x:v>
      </x:c>
      <x:c r="L178" s="2" t="s">
        <x:v>299</x:v>
      </x:c>
      <x:c r="M178" s="2">
        <x:v>1</x:v>
      </x:c>
      <x:c r="N178" s="2" t="s">
        <x:v>79</x:v>
      </x:c>
      <x:c r="O178" s="5">
        <x:v>61.6</x:v>
      </x:c>
      <x:c r="P178" s="2">
        <x:v>385</x:v>
      </x:c>
      <x:c r="Q178" s="2" t="n">
        <x:f>IF(OR(J178="positive",J178="negative"),1,0)</x:f>
        <x:v>1</x:v>
      </x:c>
    </x:row>
    <x:row r="179" ht="15">
      <x:c r="A179" s="2" t="s">
        <x:v>31</x:v>
      </x:c>
      <x:c r="B179" s="2" t="s">
        <x:v>129</x:v>
      </x:c>
      <x:c r="C179" s="2">
        <x:v>5</x:v>
      </x:c>
      <x:c r="D179" s="2" t="s">
        <x:v>300</x:v>
      </x:c>
      <x:c r="E179" s="2" t="s">
        <x:v>301</x:v>
      </x:c>
      <x:c r="F179" s="7">
        <x:v>7.714E-2</x:v>
      </x:c>
      <x:c r="G179" s="2" t="s">
        <x:v>302</x:v>
      </x:c>
      <x:c r="H179" s="8">
        <x:v>0.45</x:v>
      </x:c>
      <x:c r="I179" s="9" t="n">
        <x:f t="shared" si="2">IFERROR(ABS(F179)/H179,"")</x:f>
        <x:v>0.17142222222222223</x:v>
      </x:c>
      <x:c r="J179" s="2" t="s">
        <x:v>298</x:v>
      </x:c>
      <x:c r="K179" s="8">
        <x:v>0.92727999999999999</x:v>
      </x:c>
      <x:c r="L179" s="2" t="s">
        <x:v>299</x:v>
      </x:c>
      <x:c r="M179" s="2">
        <x:v>1</x:v>
      </x:c>
      <x:c r="N179" s="2" t="s">
        <x:v>79</x:v>
      </x:c>
      <x:c r="O179" s="5">
        <x:v>61.6</x:v>
      </x:c>
      <x:c r="P179" s="2">
        <x:v>385</x:v>
      </x:c>
      <x:c r="Q179" s="2" t="n">
        <x:f>IF(OR(J179="positive",J179="negative"),1,0)</x:f>
        <x:v>1</x:v>
      </x:c>
    </x:row>
    <x:row r="180" ht="15">
      <x:c r="A180" s="2" t="s">
        <x:v>31</x:v>
      </x:c>
      <x:c r="B180" s="2" t="s">
        <x:v>129</x:v>
      </x:c>
      <x:c r="C180" s="2">
        <x:v>5</x:v>
      </x:c>
      <x:c r="D180" s="2" t="s">
        <x:v>18</x:v>
      </x:c>
      <x:c r="E180" s="2" t="s">
        <x:v>303</x:v>
      </x:c>
      <x:c r="F180" s="7">
        <x:v>-8.8800000000000007E-3</x:v>
      </x:c>
      <x:c r="G180" s="2" t="s">
        <x:v>304</x:v>
      </x:c>
      <x:c r="H180" s="8">
        <x:v>7.4999999999999997E-2</x:v>
      </x:c>
      <x:c r="I180" s="9" t="n">
        <x:f t="shared" si="2">IFERROR(ABS(F180)/H180,"")</x:f>
        <x:v>0.11840000000000002</x:v>
      </x:c>
      <x:c r="J180" s="2" t="s">
        <x:v>298</x:v>
      </x:c>
      <x:c r="K180" s="8">
        <x:v>0.98960999999999999</x:v>
      </x:c>
      <x:c r="L180" s="2" t="s">
        <x:v>299</x:v>
      </x:c>
      <x:c r="M180" s="2">
        <x:v>1</x:v>
      </x:c>
      <x:c r="N180" s="2" t="s">
        <x:v>79</x:v>
      </x:c>
      <x:c r="O180" s="5">
        <x:v>61.6</x:v>
      </x:c>
      <x:c r="P180" s="2">
        <x:v>385</x:v>
      </x:c>
      <x:c r="Q180" s="2" t="n">
        <x:f>IF(OR(J180="positive",J180="negative"),1,0)</x:f>
        <x:v>1</x:v>
      </x:c>
    </x:row>
    <x:row r="181" ht="15">
      <x:c r="A181" s="2" t="s">
        <x:v>31</x:v>
      </x:c>
      <x:c r="B181" s="2" t="s">
        <x:v>129</x:v>
      </x:c>
      <x:c r="C181" s="2">
        <x:v>5</x:v>
      </x:c>
      <x:c r="D181" s="2" t="s">
        <x:v>305</x:v>
      </x:c>
      <x:c r="E181" s="2" t="s">
        <x:v>306</x:v>
      </x:c>
      <x:c r="F181" s="7">
        <x:v>-1.6800000000000001E-3</x:v>
      </x:c>
      <x:c r="G181" s="2" t="s">
        <x:v>304</x:v>
      </x:c>
      <x:c r="H181" s="8">
        <x:v>0.3</x:v>
      </x:c>
      <x:c r="I181" s="9" t="n">
        <x:f t="shared" si="2">IFERROR(ABS(F181)/H181,"")</x:f>
        <x:v>0.005600000000000001</x:v>
      </x:c>
      <x:c r="J181" s="2" t="s">
        <x:v>298</x:v>
      </x:c>
      <x:c r="K181" s="8">
        <x:v>0.93689999999999996</x:v>
      </x:c>
      <x:c r="L181" s="2" t="s">
        <x:v>299</x:v>
      </x:c>
      <x:c r="M181" s="2">
        <x:v>1</x:v>
      </x:c>
      <x:c r="N181" s="2" t="s">
        <x:v>79</x:v>
      </x:c>
      <x:c r="O181" s="5">
        <x:v>61.6</x:v>
      </x:c>
      <x:c r="P181" s="2">
        <x:v>385</x:v>
      </x:c>
      <x:c r="Q181" s="2" t="n">
        <x:f>IF(OR(J181="positive",J181="negative"),1,0)</x:f>
        <x:v>1</x:v>
      </x:c>
    </x:row>
    <x:row r="182" ht="15">
      <x:c r="A182" s="2" t="s">
        <x:v>32</x:v>
      </x:c>
      <x:c r="B182" s="2" t="s">
        <x:v>130</x:v>
      </x:c>
      <x:c r="C182" s="2">
        <x:v>1</x:v>
      </x:c>
      <x:c r="D182" s="2" t="s">
        <x:v>295</x:v>
      </x:c>
      <x:c r="E182" s="2" t="s">
        <x:v>296</x:v>
      </x:c>
      <x:c r="F182" s="7">
        <x:v>0.40381</x:v>
      </x:c>
      <x:c r="G182" s="2" t="s">
        <x:v>297</x:v>
      </x:c>
      <x:c r="H182" s="8">
        <x:v>3.5</x:v>
      </x:c>
      <x:c r="I182" s="9" t="n">
        <x:f t="shared" si="2">IFERROR(ABS(F182)/H182,"")</x:f>
        <x:v>0.11537428571428572</x:v>
      </x:c>
      <x:c r="J182" s="2" t="s">
        <x:v>298</x:v>
      </x:c>
      <x:c r="K182" s="8">
        <x:v>0.94362000000000001</x:v>
      </x:c>
      <x:c r="L182" s="2" t="s">
        <x:v>299</x:v>
      </x:c>
      <x:c r="M182" s="2">
        <x:v>1</x:v>
      </x:c>
      <x:c r="N182" s="2" t="s">
        <x:v>79</x:v>
      </x:c>
      <x:c r="O182" s="5">
        <x:v>64.7</x:v>
      </x:c>
      <x:c r="P182" s="2">
        <x:v>572</x:v>
      </x:c>
      <x:c r="Q182" s="2" t="n">
        <x:f>IF(OR(J182="positive",J182="negative"),1,0)</x:f>
        <x:v>1</x:v>
      </x:c>
    </x:row>
    <x:row r="183" ht="15">
      <x:c r="A183" s="2" t="s">
        <x:v>32</x:v>
      </x:c>
      <x:c r="B183" s="2" t="s">
        <x:v>130</x:v>
      </x:c>
      <x:c r="C183" s="2">
        <x:v>1</x:v>
      </x:c>
      <x:c r="D183" s="2" t="s">
        <x:v>300</x:v>
      </x:c>
      <x:c r="E183" s="2" t="s">
        <x:v>301</x:v>
      </x:c>
      <x:c r="F183" s="7">
        <x:v>0.1197</x:v>
      </x:c>
      <x:c r="G183" s="2" t="s">
        <x:v>302</x:v>
      </x:c>
      <x:c r="H183" s="8">
        <x:v>0.45</x:v>
      </x:c>
      <x:c r="I183" s="9" t="n">
        <x:f t="shared" si="2">IFERROR(ABS(F183)/H183,"")</x:f>
        <x:v>0.266</x:v>
      </x:c>
      <x:c r="J183" s="2" t="s">
        <x:v>298</x:v>
      </x:c>
      <x:c r="K183" s="8">
        <x:v>0.92905000000000004</x:v>
      </x:c>
      <x:c r="L183" s="2" t="s">
        <x:v>299</x:v>
      </x:c>
      <x:c r="M183" s="2">
        <x:v>1</x:v>
      </x:c>
      <x:c r="N183" s="2" t="s">
        <x:v>79</x:v>
      </x:c>
      <x:c r="O183" s="5">
        <x:v>64.7</x:v>
      </x:c>
      <x:c r="P183" s="2">
        <x:v>572</x:v>
      </x:c>
      <x:c r="Q183" s="2" t="n">
        <x:f>IF(OR(J183="positive",J183="negative"),1,0)</x:f>
        <x:v>1</x:v>
      </x:c>
    </x:row>
    <x:row r="184" ht="15">
      <x:c r="A184" s="2" t="s">
        <x:v>32</x:v>
      </x:c>
      <x:c r="B184" s="2" t="s">
        <x:v>130</x:v>
      </x:c>
      <x:c r="C184" s="2">
        <x:v>1</x:v>
      </x:c>
      <x:c r="D184" s="2" t="s">
        <x:v>18</x:v>
      </x:c>
      <x:c r="E184" s="2" t="s">
        <x:v>303</x:v>
      </x:c>
      <x:c r="F184" s="7">
        <x:v>6.5599999999999999E-3</x:v>
      </x:c>
      <x:c r="G184" s="2" t="s">
        <x:v>304</x:v>
      </x:c>
      <x:c r="H184" s="8">
        <x:v>7.4999999999999997E-2</x:v>
      </x:c>
      <x:c r="I184" s="9" t="n">
        <x:f t="shared" si="2">IFERROR(ABS(F184)/H184,"")</x:f>
        <x:v>0.08746666666666666</x:v>
      </x:c>
      <x:c r="J184" s="2" t="s">
        <x:v>298</x:v>
      </x:c>
      <x:c r="K184" s="8">
        <x:v>0.96809000000000001</x:v>
      </x:c>
      <x:c r="L184" s="2" t="s">
        <x:v>299</x:v>
      </x:c>
      <x:c r="M184" s="2">
        <x:v>1</x:v>
      </x:c>
      <x:c r="N184" s="2" t="s">
        <x:v>79</x:v>
      </x:c>
      <x:c r="O184" s="5">
        <x:v>64.7</x:v>
      </x:c>
      <x:c r="P184" s="2">
        <x:v>572</x:v>
      </x:c>
      <x:c r="Q184" s="2" t="n">
        <x:f>IF(OR(J184="positive",J184="negative"),1,0)</x:f>
        <x:v>1</x:v>
      </x:c>
    </x:row>
    <x:row r="185" ht="15">
      <x:c r="A185" s="2" t="s">
        <x:v>32</x:v>
      </x:c>
      <x:c r="B185" s="2" t="s">
        <x:v>130</x:v>
      </x:c>
      <x:c r="C185" s="2">
        <x:v>1</x:v>
      </x:c>
      <x:c r="D185" s="2" t="s">
        <x:v>305</x:v>
      </x:c>
      <x:c r="E185" s="2" t="s">
        <x:v>306</x:v>
      </x:c>
      <x:c r="F185" s="7">
        <x:v>7.7299999999999994E-2</x:v>
      </x:c>
      <x:c r="G185" s="2" t="s">
        <x:v>304</x:v>
      </x:c>
      <x:c r="H185" s="8">
        <x:v>0.3</x:v>
      </x:c>
      <x:c r="I185" s="9" t="n">
        <x:f t="shared" si="2">IFERROR(ABS(F185)/H185,"")</x:f>
        <x:v>0.25766666666666665</x:v>
      </x:c>
      <x:c r="J185" s="2" t="s">
        <x:v>298</x:v>
      </x:c>
      <x:c r="K185" s="8">
        <x:v>0.90717999999999999</x:v>
      </x:c>
      <x:c r="L185" s="2" t="s">
        <x:v>299</x:v>
      </x:c>
      <x:c r="M185" s="2">
        <x:v>1</x:v>
      </x:c>
      <x:c r="N185" s="2" t="s">
        <x:v>79</x:v>
      </x:c>
      <x:c r="O185" s="5">
        <x:v>64.7</x:v>
      </x:c>
      <x:c r="P185" s="2">
        <x:v>572</x:v>
      </x:c>
      <x:c r="Q185" s="2" t="n">
        <x:f>IF(OR(J185="positive",J185="negative"),1,0)</x:f>
        <x:v>1</x:v>
      </x:c>
    </x:row>
    <x:row r="186" ht="15">
      <x:c r="A186" s="2" t="s">
        <x:v>32</x:v>
      </x:c>
      <x:c r="B186" s="2" t="s">
        <x:v>131</x:v>
      </x:c>
      <x:c r="C186" s="2">
        <x:v>2</x:v>
      </x:c>
      <x:c r="D186" s="2" t="s">
        <x:v>295</x:v>
      </x:c>
      <x:c r="E186" s="2" t="s">
        <x:v>296</x:v>
      </x:c>
      <x:c r="F186" s="7">
        <x:v>0.21909999999999999</x:v>
      </x:c>
      <x:c r="G186" s="2" t="s">
        <x:v>297</x:v>
      </x:c>
      <x:c r="H186" s="8">
        <x:v>3.5</x:v>
      </x:c>
      <x:c r="I186" s="9" t="n">
        <x:f t="shared" si="2">IFERROR(ABS(F186)/H186,"")</x:f>
        <x:v>0.0626</x:v>
      </x:c>
      <x:c r="J186" s="2" t="s">
        <x:v>298</x:v>
      </x:c>
      <x:c r="K186" s="8">
        <x:v>0.94311999999999996</x:v>
      </x:c>
      <x:c r="L186" s="2" t="s">
        <x:v>299</x:v>
      </x:c>
      <x:c r="M186" s="2">
        <x:v>1</x:v>
      </x:c>
      <x:c r="N186" s="2" t="s">
        <x:v>79</x:v>
      </x:c>
      <x:c r="O186" s="5">
        <x:v>65.900000000000006</x:v>
      </x:c>
      <x:c r="P186" s="2">
        <x:v>384</x:v>
      </x:c>
      <x:c r="Q186" s="2" t="n">
        <x:f>IF(OR(J186="positive",J186="negative"),1,0)</x:f>
        <x:v>1</x:v>
      </x:c>
    </x:row>
    <x:row r="187" ht="15">
      <x:c r="A187" s="2" t="s">
        <x:v>32</x:v>
      </x:c>
      <x:c r="B187" s="2" t="s">
        <x:v>131</x:v>
      </x:c>
      <x:c r="C187" s="2">
        <x:v>2</x:v>
      </x:c>
      <x:c r="D187" s="2" t="s">
        <x:v>300</x:v>
      </x:c>
      <x:c r="E187" s="2" t="s">
        <x:v>301</x:v>
      </x:c>
      <x:c r="F187" s="7">
        <x:v>0.10290000000000001</x:v>
      </x:c>
      <x:c r="G187" s="2" t="s">
        <x:v>302</x:v>
      </x:c>
      <x:c r="H187" s="8">
        <x:v>0.45</x:v>
      </x:c>
      <x:c r="I187" s="9" t="n">
        <x:f t="shared" si="2">IFERROR(ABS(F187)/H187,"")</x:f>
        <x:v>0.22866666666666668</x:v>
      </x:c>
      <x:c r="J187" s="2" t="s">
        <x:v>298</x:v>
      </x:c>
      <x:c r="K187" s="8">
        <x:v>0.94811999999999996</x:v>
      </x:c>
      <x:c r="L187" s="2" t="s">
        <x:v>299</x:v>
      </x:c>
      <x:c r="M187" s="2">
        <x:v>1</x:v>
      </x:c>
      <x:c r="N187" s="2" t="s">
        <x:v>79</x:v>
      </x:c>
      <x:c r="O187" s="5">
        <x:v>65.900000000000006</x:v>
      </x:c>
      <x:c r="P187" s="2">
        <x:v>384</x:v>
      </x:c>
      <x:c r="Q187" s="2" t="n">
        <x:f>IF(OR(J187="positive",J187="negative"),1,0)</x:f>
        <x:v>1</x:v>
      </x:c>
    </x:row>
    <x:row r="188" ht="15">
      <x:c r="A188" s="2" t="s">
        <x:v>32</x:v>
      </x:c>
      <x:c r="B188" s="2" t="s">
        <x:v>131</x:v>
      </x:c>
      <x:c r="C188" s="2">
        <x:v>2</x:v>
      </x:c>
      <x:c r="D188" s="2" t="s">
        <x:v>18</x:v>
      </x:c>
      <x:c r="E188" s="2" t="s">
        <x:v>303</x:v>
      </x:c>
      <x:c r="F188" s="7">
        <x:v>9.9399999999999992E-3</x:v>
      </x:c>
      <x:c r="G188" s="2" t="s">
        <x:v>304</x:v>
      </x:c>
      <x:c r="H188" s="8">
        <x:v>7.4999999999999997E-2</x:v>
      </x:c>
      <x:c r="I188" s="9" t="n">
        <x:f t="shared" si="2">IFERROR(ABS(F188)/H188,"")</x:f>
        <x:v>0.13253333333333334</x:v>
      </x:c>
      <x:c r="J188" s="2" t="s">
        <x:v>298</x:v>
      </x:c>
      <x:c r="K188" s="8">
        <x:v>0.91881000000000002</x:v>
      </x:c>
      <x:c r="L188" s="2" t="s">
        <x:v>299</x:v>
      </x:c>
      <x:c r="M188" s="2">
        <x:v>1</x:v>
      </x:c>
      <x:c r="N188" s="2" t="s">
        <x:v>79</x:v>
      </x:c>
      <x:c r="O188" s="5">
        <x:v>65.900000000000006</x:v>
      </x:c>
      <x:c r="P188" s="2">
        <x:v>384</x:v>
      </x:c>
      <x:c r="Q188" s="2" t="n">
        <x:f>IF(OR(J188="positive",J188="negative"),1,0)</x:f>
        <x:v>1</x:v>
      </x:c>
    </x:row>
    <x:row r="189" ht="15">
      <x:c r="A189" s="2" t="s">
        <x:v>32</x:v>
      </x:c>
      <x:c r="B189" s="2" t="s">
        <x:v>131</x:v>
      </x:c>
      <x:c r="C189" s="2">
        <x:v>2</x:v>
      </x:c>
      <x:c r="D189" s="2" t="s">
        <x:v>305</x:v>
      </x:c>
      <x:c r="E189" s="2" t="s">
        <x:v>306</x:v>
      </x:c>
      <x:c r="F189" s="7">
        <x:v>5.7889999999999997E-2</x:v>
      </x:c>
      <x:c r="G189" s="2" t="s">
        <x:v>304</x:v>
      </x:c>
      <x:c r="H189" s="8">
        <x:v>0.3</x:v>
      </x:c>
      <x:c r="I189" s="9" t="n">
        <x:f t="shared" si="2">IFERROR(ABS(F189)/H189,"")</x:f>
        <x:v>0.19296666666666668</x:v>
      </x:c>
      <x:c r="J189" s="2" t="s">
        <x:v>298</x:v>
      </x:c>
      <x:c r="K189" s="8">
        <x:v>0.94364999999999999</x:v>
      </x:c>
      <x:c r="L189" s="2" t="s">
        <x:v>299</x:v>
      </x:c>
      <x:c r="M189" s="2">
        <x:v>1</x:v>
      </x:c>
      <x:c r="N189" s="2" t="s">
        <x:v>79</x:v>
      </x:c>
      <x:c r="O189" s="5">
        <x:v>65.900000000000006</x:v>
      </x:c>
      <x:c r="P189" s="2">
        <x:v>384</x:v>
      </x:c>
      <x:c r="Q189" s="2" t="n">
        <x:f>IF(OR(J189="positive",J189="negative"),1,0)</x:f>
        <x:v>1</x:v>
      </x:c>
    </x:row>
    <x:row r="190" ht="15">
      <x:c r="A190" s="2" t="s">
        <x:v>32</x:v>
      </x:c>
      <x:c r="B190" s="2" t="s">
        <x:v>132</x:v>
      </x:c>
      <x:c r="C190" s="2">
        <x:v>3</x:v>
      </x:c>
      <x:c r="D190" s="2" t="s">
        <x:v>295</x:v>
      </x:c>
      <x:c r="E190" s="2" t="s">
        <x:v>296</x:v>
      </x:c>
      <x:c r="F190" s="7">
        <x:v>0.39149</x:v>
      </x:c>
      <x:c r="G190" s="2" t="s">
        <x:v>297</x:v>
      </x:c>
      <x:c r="H190" s="8">
        <x:v>3.5</x:v>
      </x:c>
      <x:c r="I190" s="9" t="n">
        <x:f t="shared" si="2">IFERROR(ABS(F190)/H190,"")</x:f>
        <x:v>0.11185428571428571</x:v>
      </x:c>
      <x:c r="J190" s="2" t="s">
        <x:v>298</x:v>
      </x:c>
      <x:c r="K190" s="8">
        <x:v>0.91913999999999996</x:v>
      </x:c>
      <x:c r="L190" s="2" t="s">
        <x:v>299</x:v>
      </x:c>
      <x:c r="M190" s="2">
        <x:v>1</x:v>
      </x:c>
      <x:c r="N190" s="2" t="s">
        <x:v>79</x:v>
      </x:c>
      <x:c r="O190" s="5">
        <x:v>56.5</x:v>
      </x:c>
      <x:c r="P190" s="2">
        <x:v>354</x:v>
      </x:c>
      <x:c r="Q190" s="2" t="n">
        <x:f>IF(OR(J190="positive",J190="negative"),1,0)</x:f>
        <x:v>1</x:v>
      </x:c>
    </x:row>
    <x:row r="191" ht="15">
      <x:c r="A191" s="2" t="s">
        <x:v>32</x:v>
      </x:c>
      <x:c r="B191" s="2" t="s">
        <x:v>132</x:v>
      </x:c>
      <x:c r="C191" s="2">
        <x:v>3</x:v>
      </x:c>
      <x:c r="D191" s="2" t="s">
        <x:v>300</x:v>
      </x:c>
      <x:c r="E191" s="2" t="s">
        <x:v>301</x:v>
      </x:c>
      <x:c r="F191" s="7">
        <x:v>0.11947000000000001</x:v>
      </x:c>
      <x:c r="G191" s="2" t="s">
        <x:v>302</x:v>
      </x:c>
      <x:c r="H191" s="8">
        <x:v>0.45</x:v>
      </x:c>
      <x:c r="I191" s="9" t="n">
        <x:f t="shared" si="2">IFERROR(ABS(F191)/H191,"")</x:f>
        <x:v>0.2654888888888889</x:v>
      </x:c>
      <x:c r="J191" s="2" t="s">
        <x:v>298</x:v>
      </x:c>
      <x:c r="K191" s="8">
        <x:v>0.91329000000000005</x:v>
      </x:c>
      <x:c r="L191" s="2" t="s">
        <x:v>299</x:v>
      </x:c>
      <x:c r="M191" s="2">
        <x:v>1</x:v>
      </x:c>
      <x:c r="N191" s="2" t="s">
        <x:v>79</x:v>
      </x:c>
      <x:c r="O191" s="5">
        <x:v>56.5</x:v>
      </x:c>
      <x:c r="P191" s="2">
        <x:v>354</x:v>
      </x:c>
      <x:c r="Q191" s="2" t="n">
        <x:f>IF(OR(J191="positive",J191="negative"),1,0)</x:f>
        <x:v>1</x:v>
      </x:c>
    </x:row>
    <x:row r="192" ht="15">
      <x:c r="A192" s="2" t="s">
        <x:v>32</x:v>
      </x:c>
      <x:c r="B192" s="2" t="s">
        <x:v>132</x:v>
      </x:c>
      <x:c r="C192" s="2">
        <x:v>3</x:v>
      </x:c>
      <x:c r="D192" s="2" t="s">
        <x:v>18</x:v>
      </x:c>
      <x:c r="E192" s="2" t="s">
        <x:v>303</x:v>
      </x:c>
      <x:c r="F192" s="7">
        <x:v>1.2160000000000001E-2</x:v>
      </x:c>
      <x:c r="G192" s="2" t="s">
        <x:v>304</x:v>
      </x:c>
      <x:c r="H192" s="8">
        <x:v>7.4999999999999997E-2</x:v>
      </x:c>
      <x:c r="I192" s="9" t="n">
        <x:f t="shared" si="2">IFERROR(ABS(F192)/H192,"")</x:f>
        <x:v>0.16213333333333335</x:v>
      </x:c>
      <x:c r="J192" s="2" t="s">
        <x:v>298</x:v>
      </x:c>
      <x:c r="K192" s="8">
        <x:v>0.93325999999999998</x:v>
      </x:c>
      <x:c r="L192" s="2" t="s">
        <x:v>299</x:v>
      </x:c>
      <x:c r="M192" s="2">
        <x:v>1</x:v>
      </x:c>
      <x:c r="N192" s="2" t="s">
        <x:v>79</x:v>
      </x:c>
      <x:c r="O192" s="5">
        <x:v>56.5</x:v>
      </x:c>
      <x:c r="P192" s="2">
        <x:v>354</x:v>
      </x:c>
      <x:c r="Q192" s="2" t="n">
        <x:f>IF(OR(J192="positive",J192="negative"),1,0)</x:f>
        <x:v>1</x:v>
      </x:c>
    </x:row>
    <x:row r="193" ht="15">
      <x:c r="A193" s="2" t="s">
        <x:v>32</x:v>
      </x:c>
      <x:c r="B193" s="2" t="s">
        <x:v>132</x:v>
      </x:c>
      <x:c r="C193" s="2">
        <x:v>3</x:v>
      </x:c>
      <x:c r="D193" s="2" t="s">
        <x:v>305</x:v>
      </x:c>
      <x:c r="E193" s="2" t="s">
        <x:v>306</x:v>
      </x:c>
      <x:c r="F193" s="7">
        <x:v>4.641E-2</x:v>
      </x:c>
      <x:c r="G193" s="2" t="s">
        <x:v>304</x:v>
      </x:c>
      <x:c r="H193" s="8">
        <x:v>0.3</x:v>
      </x:c>
      <x:c r="I193" s="9" t="n">
        <x:f t="shared" si="2">IFERROR(ABS(F193)/H193,"")</x:f>
        <x:v>0.1547</x:v>
      </x:c>
      <x:c r="J193" s="2" t="s">
        <x:v>298</x:v>
      </x:c>
      <x:c r="K193" s="8">
        <x:v>0.95130000000000003</x:v>
      </x:c>
      <x:c r="L193" s="2" t="s">
        <x:v>299</x:v>
      </x:c>
      <x:c r="M193" s="2">
        <x:v>1</x:v>
      </x:c>
      <x:c r="N193" s="2" t="s">
        <x:v>79</x:v>
      </x:c>
      <x:c r="O193" s="5">
        <x:v>56.5</x:v>
      </x:c>
      <x:c r="P193" s="2">
        <x:v>354</x:v>
      </x:c>
      <x:c r="Q193" s="2" t="n">
        <x:f>IF(OR(J193="positive",J193="negative"),1,0)</x:f>
        <x:v>1</x:v>
      </x:c>
    </x:row>
    <x:row r="194" ht="15">
      <x:c r="A194" s="2" t="s">
        <x:v>32</x:v>
      </x:c>
      <x:c r="B194" s="2" t="s">
        <x:v>133</x:v>
      </x:c>
      <x:c r="C194" s="2">
        <x:v>4</x:v>
      </x:c>
      <x:c r="D194" s="2" t="s">
        <x:v>295</x:v>
      </x:c>
      <x:c r="E194" s="2" t="s">
        <x:v>296</x:v>
      </x:c>
      <x:c r="F194" s="7">
        <x:v>0.25363000000000002</x:v>
      </x:c>
      <x:c r="G194" s="2" t="s">
        <x:v>297</x:v>
      </x:c>
      <x:c r="H194" s="8">
        <x:v>3.5</x:v>
      </x:c>
      <x:c r="I194" s="9" t="n">
        <x:f t="shared" ref="I194:I257" si="3">IFERROR(ABS(F194)/H194,"")</x:f>
        <x:v>0.07246571428571429</x:v>
      </x:c>
      <x:c r="J194" s="2" t="s">
        <x:v>298</x:v>
      </x:c>
      <x:c r="K194" s="8">
        <x:v>0.95989999999999998</x:v>
      </x:c>
      <x:c r="L194" s="2" t="s">
        <x:v>299</x:v>
      </x:c>
      <x:c r="M194" s="2">
        <x:v>1</x:v>
      </x:c>
      <x:c r="N194" s="2" t="s">
        <x:v>79</x:v>
      </x:c>
      <x:c r="O194" s="5">
        <x:v>61.7</x:v>
      </x:c>
      <x:c r="P194" s="2">
        <x:v>386</x:v>
      </x:c>
      <x:c r="Q194" s="2" t="n">
        <x:f>IF(OR(J194="positive",J194="negative"),1,0)</x:f>
        <x:v>1</x:v>
      </x:c>
    </x:row>
    <x:row r="195" ht="15">
      <x:c r="A195" s="2" t="s">
        <x:v>32</x:v>
      </x:c>
      <x:c r="B195" s="2" t="s">
        <x:v>133</x:v>
      </x:c>
      <x:c r="C195" s="2">
        <x:v>4</x:v>
      </x:c>
      <x:c r="D195" s="2" t="s">
        <x:v>300</x:v>
      </x:c>
      <x:c r="E195" s="2" t="s">
        <x:v>301</x:v>
      </x:c>
      <x:c r="F195" s="7">
        <x:v>0.12878000000000001</x:v>
      </x:c>
      <x:c r="G195" s="2" t="s">
        <x:v>302</x:v>
      </x:c>
      <x:c r="H195" s="8">
        <x:v>0.45</x:v>
      </x:c>
      <x:c r="I195" s="9" t="n">
        <x:f t="shared" si="3">IFERROR(ABS(F195)/H195,"")</x:f>
        <x:v>0.2861777777777778</x:v>
      </x:c>
      <x:c r="J195" s="2" t="s">
        <x:v>298</x:v>
      </x:c>
      <x:c r="K195" s="8">
        <x:v>0.97031000000000001</x:v>
      </x:c>
      <x:c r="L195" s="2" t="s">
        <x:v>299</x:v>
      </x:c>
      <x:c r="M195" s="2">
        <x:v>1</x:v>
      </x:c>
      <x:c r="N195" s="2" t="s">
        <x:v>79</x:v>
      </x:c>
      <x:c r="O195" s="5">
        <x:v>61.7</x:v>
      </x:c>
      <x:c r="P195" s="2">
        <x:v>386</x:v>
      </x:c>
      <x:c r="Q195" s="2" t="n">
        <x:f>IF(OR(J195="positive",J195="negative"),1,0)</x:f>
        <x:v>1</x:v>
      </x:c>
    </x:row>
    <x:row r="196" ht="15">
      <x:c r="A196" s="2" t="s">
        <x:v>32</x:v>
      </x:c>
      <x:c r="B196" s="2" t="s">
        <x:v>133</x:v>
      </x:c>
      <x:c r="C196" s="2">
        <x:v>4</x:v>
      </x:c>
      <x:c r="D196" s="2" t="s">
        <x:v>18</x:v>
      </x:c>
      <x:c r="E196" s="2" t="s">
        <x:v>303</x:v>
      </x:c>
      <x:c r="F196" s="7">
        <x:v>1.6119999999999999E-2</x:v>
      </x:c>
      <x:c r="G196" s="2" t="s">
        <x:v>304</x:v>
      </x:c>
      <x:c r="H196" s="8">
        <x:v>7.4999999999999997E-2</x:v>
      </x:c>
      <x:c r="I196" s="9" t="n">
        <x:f t="shared" si="3">IFERROR(ABS(F196)/H196,"")</x:f>
        <x:v>0.21493333333333334</x:v>
      </x:c>
      <x:c r="J196" s="2" t="s">
        <x:v>298</x:v>
      </x:c>
      <x:c r="K196" s="8">
        <x:v>0.98414000000000001</x:v>
      </x:c>
      <x:c r="L196" s="2" t="s">
        <x:v>299</x:v>
      </x:c>
      <x:c r="M196" s="2">
        <x:v>1</x:v>
      </x:c>
      <x:c r="N196" s="2" t="s">
        <x:v>79</x:v>
      </x:c>
      <x:c r="O196" s="5">
        <x:v>61.7</x:v>
      </x:c>
      <x:c r="P196" s="2">
        <x:v>386</x:v>
      </x:c>
      <x:c r="Q196" s="2" t="n">
        <x:f>IF(OR(J196="positive",J196="negative"),1,0)</x:f>
        <x:v>1</x:v>
      </x:c>
    </x:row>
    <x:row r="197" ht="15">
      <x:c r="A197" s="2" t="s">
        <x:v>32</x:v>
      </x:c>
      <x:c r="B197" s="2" t="s">
        <x:v>133</x:v>
      </x:c>
      <x:c r="C197" s="2">
        <x:v>4</x:v>
      </x:c>
      <x:c r="D197" s="2" t="s">
        <x:v>305</x:v>
      </x:c>
      <x:c r="E197" s="2" t="s">
        <x:v>306</x:v>
      </x:c>
      <x:c r="F197" s="7">
        <x:v>5.706E-2</x:v>
      </x:c>
      <x:c r="G197" s="2" t="s">
        <x:v>304</x:v>
      </x:c>
      <x:c r="H197" s="8">
        <x:v>0.3</x:v>
      </x:c>
      <x:c r="I197" s="9" t="n">
        <x:f t="shared" si="3">IFERROR(ABS(F197)/H197,"")</x:f>
        <x:v>0.1902</x:v>
      </x:c>
      <x:c r="J197" s="2" t="s">
        <x:v>298</x:v>
      </x:c>
      <x:c r="K197" s="8">
        <x:v>0.94713000000000003</x:v>
      </x:c>
      <x:c r="L197" s="2" t="s">
        <x:v>299</x:v>
      </x:c>
      <x:c r="M197" s="2">
        <x:v>1</x:v>
      </x:c>
      <x:c r="N197" s="2" t="s">
        <x:v>79</x:v>
      </x:c>
      <x:c r="O197" s="5">
        <x:v>61.7</x:v>
      </x:c>
      <x:c r="P197" s="2">
        <x:v>386</x:v>
      </x:c>
      <x:c r="Q197" s="2" t="n">
        <x:f>IF(OR(J197="positive",J197="negative"),1,0)</x:f>
        <x:v>1</x:v>
      </x:c>
    </x:row>
    <x:row r="198" ht="15">
      <x:c r="A198" s="2" t="s">
        <x:v>32</x:v>
      </x:c>
      <x:c r="B198" s="2" t="s">
        <x:v>134</x:v>
      </x:c>
      <x:c r="C198" s="2">
        <x:v>5</x:v>
      </x:c>
      <x:c r="D198" s="2" t="s">
        <x:v>295</x:v>
      </x:c>
      <x:c r="E198" s="2" t="s">
        <x:v>296</x:v>
      </x:c>
      <x:c r="F198" s="7">
        <x:v>0.40755000000000002</x:v>
      </x:c>
      <x:c r="G198" s="2" t="s">
        <x:v>297</x:v>
      </x:c>
      <x:c r="H198" s="8">
        <x:v>3.5</x:v>
      </x:c>
      <x:c r="I198" s="9" t="n">
        <x:f t="shared" si="3">IFERROR(ABS(F198)/H198,"")</x:f>
        <x:v>0.11644285714285715</x:v>
      </x:c>
      <x:c r="J198" s="2" t="s">
        <x:v>298</x:v>
      </x:c>
      <x:c r="K198" s="8">
        <x:v>0.93859000000000004</x:v>
      </x:c>
      <x:c r="L198" s="2" t="s">
        <x:v>299</x:v>
      </x:c>
      <x:c r="M198" s="2">
        <x:v>1</x:v>
      </x:c>
      <x:c r="N198" s="2" t="s">
        <x:v>79</x:v>
      </x:c>
      <x:c r="O198" s="5">
        <x:v>64.5</x:v>
      </x:c>
      <x:c r="P198" s="2">
        <x:v>583</x:v>
      </x:c>
      <x:c r="Q198" s="2" t="n">
        <x:f>IF(OR(J198="positive",J198="negative"),1,0)</x:f>
        <x:v>1</x:v>
      </x:c>
    </x:row>
    <x:row r="199" ht="15">
      <x:c r="A199" s="2" t="s">
        <x:v>32</x:v>
      </x:c>
      <x:c r="B199" s="2" t="s">
        <x:v>134</x:v>
      </x:c>
      <x:c r="C199" s="2">
        <x:v>5</x:v>
      </x:c>
      <x:c r="D199" s="2" t="s">
        <x:v>300</x:v>
      </x:c>
      <x:c r="E199" s="2" t="s">
        <x:v>301</x:v>
      </x:c>
      <x:c r="F199" s="7">
        <x:v>0.10208</x:v>
      </x:c>
      <x:c r="G199" s="2" t="s">
        <x:v>302</x:v>
      </x:c>
      <x:c r="H199" s="8">
        <x:v>0.45</x:v>
      </x:c>
      <x:c r="I199" s="9" t="n">
        <x:f t="shared" si="3">IFERROR(ABS(F199)/H199,"")</x:f>
        <x:v>0.22684444444444446</x:v>
      </x:c>
      <x:c r="J199" s="2" t="s">
        <x:v>298</x:v>
      </x:c>
      <x:c r="K199" s="8">
        <x:v>0.90120999999999996</x:v>
      </x:c>
      <x:c r="L199" s="2" t="s">
        <x:v>299</x:v>
      </x:c>
      <x:c r="M199" s="2">
        <x:v>1</x:v>
      </x:c>
      <x:c r="N199" s="2" t="s">
        <x:v>79</x:v>
      </x:c>
      <x:c r="O199" s="5">
        <x:v>64.5</x:v>
      </x:c>
      <x:c r="P199" s="2">
        <x:v>583</x:v>
      </x:c>
      <x:c r="Q199" s="2" t="n">
        <x:f>IF(OR(J199="positive",J199="negative"),1,0)</x:f>
        <x:v>1</x:v>
      </x:c>
    </x:row>
    <x:row r="200" ht="15">
      <x:c r="A200" s="2" t="s">
        <x:v>32</x:v>
      </x:c>
      <x:c r="B200" s="2" t="s">
        <x:v>134</x:v>
      </x:c>
      <x:c r="C200" s="2">
        <x:v>5</x:v>
      </x:c>
      <x:c r="D200" s="2" t="s">
        <x:v>18</x:v>
      </x:c>
      <x:c r="E200" s="2" t="s">
        <x:v>303</x:v>
      </x:c>
      <x:c r="F200" s="7">
        <x:v>2.231E-2</x:v>
      </x:c>
      <x:c r="G200" s="2" t="s">
        <x:v>304</x:v>
      </x:c>
      <x:c r="H200" s="8">
        <x:v>7.4999999999999997E-2</x:v>
      </x:c>
      <x:c r="I200" s="9" t="n">
        <x:f t="shared" si="3">IFERROR(ABS(F200)/H200,"")</x:f>
        <x:v>0.29746666666666666</x:v>
      </x:c>
      <x:c r="J200" s="2" t="s">
        <x:v>298</x:v>
      </x:c>
      <x:c r="K200" s="8">
        <x:v>0.91891999999999996</x:v>
      </x:c>
      <x:c r="L200" s="2" t="s">
        <x:v>299</x:v>
      </x:c>
      <x:c r="M200" s="2">
        <x:v>1</x:v>
      </x:c>
      <x:c r="N200" s="2" t="s">
        <x:v>79</x:v>
      </x:c>
      <x:c r="O200" s="5">
        <x:v>64.5</x:v>
      </x:c>
      <x:c r="P200" s="2">
        <x:v>583</x:v>
      </x:c>
      <x:c r="Q200" s="2" t="n">
        <x:f>IF(OR(J200="positive",J200="negative"),1,0)</x:f>
        <x:v>1</x:v>
      </x:c>
    </x:row>
    <x:row r="201" ht="15">
      <x:c r="A201" s="2" t="s">
        <x:v>32</x:v>
      </x:c>
      <x:c r="B201" s="2" t="s">
        <x:v>134</x:v>
      </x:c>
      <x:c r="C201" s="2">
        <x:v>5</x:v>
      </x:c>
      <x:c r="D201" s="2" t="s">
        <x:v>305</x:v>
      </x:c>
      <x:c r="E201" s="2" t="s">
        <x:v>306</x:v>
      </x:c>
      <x:c r="F201" s="7">
        <x:v>4.1939999999999998E-2</x:v>
      </x:c>
      <x:c r="G201" s="2" t="s">
        <x:v>304</x:v>
      </x:c>
      <x:c r="H201" s="8">
        <x:v>0.3</x:v>
      </x:c>
      <x:c r="I201" s="9" t="n">
        <x:f t="shared" si="3">IFERROR(ABS(F201)/H201,"")</x:f>
        <x:v>0.1398</x:v>
      </x:c>
      <x:c r="J201" s="2" t="s">
        <x:v>298</x:v>
      </x:c>
      <x:c r="K201" s="8">
        <x:v>0.95857000000000003</x:v>
      </x:c>
      <x:c r="L201" s="2" t="s">
        <x:v>299</x:v>
      </x:c>
      <x:c r="M201" s="2">
        <x:v>1</x:v>
      </x:c>
      <x:c r="N201" s="2" t="s">
        <x:v>79</x:v>
      </x:c>
      <x:c r="O201" s="5">
        <x:v>64.5</x:v>
      </x:c>
      <x:c r="P201" s="2">
        <x:v>583</x:v>
      </x:c>
      <x:c r="Q201" s="2" t="n">
        <x:f>IF(OR(J201="positive",J201="negative"),1,0)</x:f>
        <x:v>1</x:v>
      </x:c>
    </x:row>
    <x:row r="202" ht="15">
      <x:c r="A202" s="2" t="s">
        <x:v>33</x:v>
      </x:c>
      <x:c r="B202" s="2" t="s">
        <x:v>135</x:v>
      </x:c>
      <x:c r="C202" s="2">
        <x:v>1</x:v>
      </x:c>
      <x:c r="D202" s="2" t="s">
        <x:v>295</x:v>
      </x:c>
      <x:c r="E202" s="2" t="s">
        <x:v>296</x:v>
      </x:c>
      <x:c r="F202" s="7">
        <x:v>0.49401</x:v>
      </x:c>
      <x:c r="G202" s="2" t="s">
        <x:v>297</x:v>
      </x:c>
      <x:c r="H202" s="8">
        <x:v>3.5</x:v>
      </x:c>
      <x:c r="I202" s="9" t="n">
        <x:f t="shared" si="3">IFERROR(ABS(F202)/H202,"")</x:f>
        <x:v>0.1411457142857143</x:v>
      </x:c>
      <x:c r="J202" s="2" t="s">
        <x:v>298</x:v>
      </x:c>
      <x:c r="K202" s="8">
        <x:v>0.91751000000000005</x:v>
      </x:c>
      <x:c r="L202" s="2" t="s">
        <x:v>299</x:v>
      </x:c>
      <x:c r="M202" s="2">
        <x:v>1</x:v>
      </x:c>
      <x:c r="N202" s="2" t="s">
        <x:v>79</x:v>
      </x:c>
      <x:c r="O202" s="5">
        <x:v>64.5</x:v>
      </x:c>
      <x:c r="P202" s="2">
        <x:v>410</x:v>
      </x:c>
      <x:c r="Q202" s="2" t="n">
        <x:f>IF(OR(J202="positive",J202="negative"),1,0)</x:f>
        <x:v>1</x:v>
      </x:c>
    </x:row>
    <x:row r="203" ht="15">
      <x:c r="A203" s="2" t="s">
        <x:v>33</x:v>
      </x:c>
      <x:c r="B203" s="2" t="s">
        <x:v>135</x:v>
      </x:c>
      <x:c r="C203" s="2">
        <x:v>1</x:v>
      </x:c>
      <x:c r="D203" s="2" t="s">
        <x:v>300</x:v>
      </x:c>
      <x:c r="E203" s="2" t="s">
        <x:v>301</x:v>
      </x:c>
      <x:c r="F203" s="7">
        <x:v>9.2380000000000004E-2</x:v>
      </x:c>
      <x:c r="G203" s="2" t="s">
        <x:v>302</x:v>
      </x:c>
      <x:c r="H203" s="8">
        <x:v>0.45</x:v>
      </x:c>
      <x:c r="I203" s="9" t="n">
        <x:f t="shared" si="3">IFERROR(ABS(F203)/H203,"")</x:f>
        <x:v>0.20528888888888888</x:v>
      </x:c>
      <x:c r="J203" s="2" t="s">
        <x:v>298</x:v>
      </x:c>
      <x:c r="K203" s="8">
        <x:v>0.89829000000000003</x:v>
      </x:c>
      <x:c r="L203" s="2" t="s">
        <x:v>299</x:v>
      </x:c>
      <x:c r="M203" s="2">
        <x:v>1</x:v>
      </x:c>
      <x:c r="N203" s="2" t="s">
        <x:v>79</x:v>
      </x:c>
      <x:c r="O203" s="5">
        <x:v>64.5</x:v>
      </x:c>
      <x:c r="P203" s="2">
        <x:v>410</x:v>
      </x:c>
      <x:c r="Q203" s="2" t="n">
        <x:f>IF(OR(J203="positive",J203="negative"),1,0)</x:f>
        <x:v>1</x:v>
      </x:c>
    </x:row>
    <x:row r="204" ht="15">
      <x:c r="A204" s="2" t="s">
        <x:v>33</x:v>
      </x:c>
      <x:c r="B204" s="2" t="s">
        <x:v>135</x:v>
      </x:c>
      <x:c r="C204" s="2">
        <x:v>1</x:v>
      </x:c>
      <x:c r="D204" s="2" t="s">
        <x:v>18</x:v>
      </x:c>
      <x:c r="E204" s="2" t="s">
        <x:v>303</x:v>
      </x:c>
      <x:c r="F204" s="7">
        <x:v>8.0000000000000007E-5</x:v>
      </x:c>
      <x:c r="G204" s="2" t="s">
        <x:v>304</x:v>
      </x:c>
      <x:c r="H204" s="8">
        <x:v>7.4999999999999997E-2</x:v>
      </x:c>
      <x:c r="I204" s="9" t="n">
        <x:f t="shared" si="3">IFERROR(ABS(F204)/H204,"")</x:f>
        <x:v>0.0010666666666666667</x:v>
      </x:c>
      <x:c r="J204" s="2" t="s">
        <x:v>307</x:v>
      </x:c>
      <x:c r="K204" s="8">
        <x:v>0.39550999999999997</x:v>
      </x:c>
      <x:c r="L204" s="2" t="s">
        <x:v>308</x:v>
      </x:c>
      <x:c r="M204" s="2">
        <x:v>1</x:v>
      </x:c>
      <x:c r="N204" s="2" t="s">
        <x:v>79</x:v>
      </x:c>
      <x:c r="O204" s="5">
        <x:v>64.5</x:v>
      </x:c>
      <x:c r="P204" s="2">
        <x:v>410</x:v>
      </x:c>
      <x:c r="Q204" s="2" t="n">
        <x:f>IF(OR(J204="positive",J204="negative"),1,0)</x:f>
        <x:v>0</x:v>
      </x:c>
    </x:row>
    <x:row r="205" ht="15">
      <x:c r="A205" s="2" t="s">
        <x:v>33</x:v>
      </x:c>
      <x:c r="B205" s="2" t="s">
        <x:v>135</x:v>
      </x:c>
      <x:c r="C205" s="2">
        <x:v>1</x:v>
      </x:c>
      <x:c r="D205" s="2" t="s">
        <x:v>305</x:v>
      </x:c>
      <x:c r="E205" s="2" t="s">
        <x:v>306</x:v>
      </x:c>
      <x:c r="F205" s="7">
        <x:v>4.829E-2</x:v>
      </x:c>
      <x:c r="G205" s="2" t="s">
        <x:v>304</x:v>
      </x:c>
      <x:c r="H205" s="8">
        <x:v>0.3</x:v>
      </x:c>
      <x:c r="I205" s="9" t="n">
        <x:f t="shared" si="3">IFERROR(ABS(F205)/H205,"")</x:f>
        <x:v>0.16096666666666667</x:v>
      </x:c>
      <x:c r="J205" s="2" t="s">
        <x:v>298</x:v>
      </x:c>
      <x:c r="K205" s="8">
        <x:v>0.93796000000000002</x:v>
      </x:c>
      <x:c r="L205" s="2" t="s">
        <x:v>299</x:v>
      </x:c>
      <x:c r="M205" s="2">
        <x:v>1</x:v>
      </x:c>
      <x:c r="N205" s="2" t="s">
        <x:v>79</x:v>
      </x:c>
      <x:c r="O205" s="5">
        <x:v>64.5</x:v>
      </x:c>
      <x:c r="P205" s="2">
        <x:v>410</x:v>
      </x:c>
      <x:c r="Q205" s="2" t="n">
        <x:f>IF(OR(J205="positive",J205="negative"),1,0)</x:f>
        <x:v>1</x:v>
      </x:c>
    </x:row>
    <x:row r="206" ht="15">
      <x:c r="A206" s="2" t="s">
        <x:v>33</x:v>
      </x:c>
      <x:c r="B206" s="2" t="s">
        <x:v>136</x:v>
      </x:c>
      <x:c r="C206" s="2">
        <x:v>2</x:v>
      </x:c>
      <x:c r="D206" s="2" t="s">
        <x:v>295</x:v>
      </x:c>
      <x:c r="E206" s="2" t="s">
        <x:v>296</x:v>
      </x:c>
      <x:c r="F206" s="7">
        <x:v>0.45721000000000001</x:v>
      </x:c>
      <x:c r="G206" s="2" t="s">
        <x:v>297</x:v>
      </x:c>
      <x:c r="H206" s="8">
        <x:v>3.5</x:v>
      </x:c>
      <x:c r="I206" s="9" t="n">
        <x:f t="shared" si="3">IFERROR(ABS(F206)/H206,"")</x:f>
        <x:v>0.13063142857142857</x:v>
      </x:c>
      <x:c r="J206" s="2" t="s">
        <x:v>298</x:v>
      </x:c>
      <x:c r="K206" s="8">
        <x:v>0.99</x:v>
      </x:c>
      <x:c r="L206" s="2" t="s">
        <x:v>299</x:v>
      </x:c>
      <x:c r="M206" s="2">
        <x:v>1</x:v>
      </x:c>
      <x:c r="N206" s="2" t="s">
        <x:v>79</x:v>
      </x:c>
      <x:c r="O206" s="5">
        <x:v>56.6</x:v>
      </x:c>
      <x:c r="P206" s="2">
        <x:v>475</x:v>
      </x:c>
      <x:c r="Q206" s="2" t="n">
        <x:f>IF(OR(J206="positive",J206="negative"),1,0)</x:f>
        <x:v>1</x:v>
      </x:c>
    </x:row>
    <x:row r="207" ht="15">
      <x:c r="A207" s="2" t="s">
        <x:v>33</x:v>
      </x:c>
      <x:c r="B207" s="2" t="s">
        <x:v>136</x:v>
      </x:c>
      <x:c r="C207" s="2">
        <x:v>2</x:v>
      </x:c>
      <x:c r="D207" s="2" t="s">
        <x:v>300</x:v>
      </x:c>
      <x:c r="E207" s="2" t="s">
        <x:v>301</x:v>
      </x:c>
      <x:c r="F207" s="7">
        <x:v>7.825E-2</x:v>
      </x:c>
      <x:c r="G207" s="2" t="s">
        <x:v>302</x:v>
      </x:c>
      <x:c r="H207" s="8">
        <x:v>0.45</x:v>
      </x:c>
      <x:c r="I207" s="9" t="n">
        <x:f t="shared" si="3">IFERROR(ABS(F207)/H207,"")</x:f>
        <x:v>0.1738888888888889</x:v>
      </x:c>
      <x:c r="J207" s="2" t="s">
        <x:v>298</x:v>
      </x:c>
      <x:c r="K207" s="8">
        <x:v>0.95750000000000002</x:v>
      </x:c>
      <x:c r="L207" s="2" t="s">
        <x:v>299</x:v>
      </x:c>
      <x:c r="M207" s="2">
        <x:v>1</x:v>
      </x:c>
      <x:c r="N207" s="2" t="s">
        <x:v>79</x:v>
      </x:c>
      <x:c r="O207" s="5">
        <x:v>56.6</x:v>
      </x:c>
      <x:c r="P207" s="2">
        <x:v>475</x:v>
      </x:c>
      <x:c r="Q207" s="2" t="n">
        <x:f>IF(OR(J207="positive",J207="negative"),1,0)</x:f>
        <x:v>1</x:v>
      </x:c>
    </x:row>
    <x:row r="208" ht="15">
      <x:c r="A208" s="2" t="s">
        <x:v>33</x:v>
      </x:c>
      <x:c r="B208" s="2" t="s">
        <x:v>136</x:v>
      </x:c>
      <x:c r="C208" s="2">
        <x:v>2</x:v>
      </x:c>
      <x:c r="D208" s="2" t="s">
        <x:v>18</x:v>
      </x:c>
      <x:c r="E208" s="2" t="s">
        <x:v>303</x:v>
      </x:c>
      <x:c r="F208" s="7">
        <x:v>3.9899999999999996E-3</x:v>
      </x:c>
      <x:c r="G208" s="2" t="s">
        <x:v>304</x:v>
      </x:c>
      <x:c r="H208" s="8">
        <x:v>7.4999999999999997E-2</x:v>
      </x:c>
      <x:c r="I208" s="9" t="n">
        <x:f t="shared" si="3">IFERROR(ABS(F208)/H208,"")</x:f>
        <x:v>0.0532</x:v>
      </x:c>
      <x:c r="J208" s="2" t="s">
        <x:v>298</x:v>
      </x:c>
      <x:c r="K208" s="8">
        <x:v>0.95035999999999998</x:v>
      </x:c>
      <x:c r="L208" s="2" t="s">
        <x:v>299</x:v>
      </x:c>
      <x:c r="M208" s="2">
        <x:v>1</x:v>
      </x:c>
      <x:c r="N208" s="2" t="s">
        <x:v>79</x:v>
      </x:c>
      <x:c r="O208" s="5">
        <x:v>56.6</x:v>
      </x:c>
      <x:c r="P208" s="2">
        <x:v>475</x:v>
      </x:c>
      <x:c r="Q208" s="2" t="n">
        <x:f>IF(OR(J208="positive",J208="negative"),1,0)</x:f>
        <x:v>1</x:v>
      </x:c>
    </x:row>
    <x:row r="209" ht="15">
      <x:c r="A209" s="2" t="s">
        <x:v>33</x:v>
      </x:c>
      <x:c r="B209" s="2" t="s">
        <x:v>136</x:v>
      </x:c>
      <x:c r="C209" s="2">
        <x:v>2</x:v>
      </x:c>
      <x:c r="D209" s="2" t="s">
        <x:v>305</x:v>
      </x:c>
      <x:c r="E209" s="2" t="s">
        <x:v>306</x:v>
      </x:c>
      <x:c r="F209" s="7">
        <x:v>4.6149999999999997E-2</x:v>
      </x:c>
      <x:c r="G209" s="2" t="s">
        <x:v>304</x:v>
      </x:c>
      <x:c r="H209" s="8">
        <x:v>0.3</x:v>
      </x:c>
      <x:c r="I209" s="9" t="n">
        <x:f t="shared" si="3">IFERROR(ABS(F209)/H209,"")</x:f>
        <x:v>0.15383333333333332</x:v>
      </x:c>
      <x:c r="J209" s="2" t="s">
        <x:v>298</x:v>
      </x:c>
      <x:c r="K209" s="8">
        <x:v>0.96021999999999996</x:v>
      </x:c>
      <x:c r="L209" s="2" t="s">
        <x:v>299</x:v>
      </x:c>
      <x:c r="M209" s="2">
        <x:v>1</x:v>
      </x:c>
      <x:c r="N209" s="2" t="s">
        <x:v>79</x:v>
      </x:c>
      <x:c r="O209" s="5">
        <x:v>56.6</x:v>
      </x:c>
      <x:c r="P209" s="2">
        <x:v>475</x:v>
      </x:c>
      <x:c r="Q209" s="2" t="n">
        <x:f>IF(OR(J209="positive",J209="negative"),1,0)</x:f>
        <x:v>1</x:v>
      </x:c>
    </x:row>
    <x:row r="210" ht="15">
      <x:c r="A210" s="2" t="s">
        <x:v>33</x:v>
      </x:c>
      <x:c r="B210" s="2" t="s">
        <x:v>137</x:v>
      </x:c>
      <x:c r="C210" s="2">
        <x:v>3</x:v>
      </x:c>
      <x:c r="D210" s="2" t="s">
        <x:v>295</x:v>
      </x:c>
      <x:c r="E210" s="2" t="s">
        <x:v>296</x:v>
      </x:c>
      <x:c r="F210" s="7">
        <x:v>4.8399999999999999E-2</x:v>
      </x:c>
      <x:c r="G210" s="2" t="s">
        <x:v>297</x:v>
      </x:c>
      <x:c r="H210" s="8">
        <x:v>3.5</x:v>
      </x:c>
      <x:c r="I210" s="9" t="n">
        <x:f t="shared" si="3">IFERROR(ABS(F210)/H210,"")</x:f>
        <x:v>0.013828571428571428</x:v>
      </x:c>
      <x:c r="J210" s="2" t="s">
        <x:v>298</x:v>
      </x:c>
      <x:c r="K210" s="8">
        <x:v>0.96711000000000003</x:v>
      </x:c>
      <x:c r="L210" s="2" t="s">
        <x:v>299</x:v>
      </x:c>
      <x:c r="M210" s="2">
        <x:v>1</x:v>
      </x:c>
      <x:c r="N210" s="2" t="s">
        <x:v>79</x:v>
      </x:c>
      <x:c r="O210" s="5">
        <x:v>64</x:v>
      </x:c>
      <x:c r="P210" s="2">
        <x:v>376</x:v>
      </x:c>
      <x:c r="Q210" s="2" t="n">
        <x:f>IF(OR(J210="positive",J210="negative"),1,0)</x:f>
        <x:v>1</x:v>
      </x:c>
    </x:row>
    <x:row r="211" ht="15">
      <x:c r="A211" s="2" t="s">
        <x:v>33</x:v>
      </x:c>
      <x:c r="B211" s="2" t="s">
        <x:v>137</x:v>
      </x:c>
      <x:c r="C211" s="2">
        <x:v>3</x:v>
      </x:c>
      <x:c r="D211" s="2" t="s">
        <x:v>300</x:v>
      </x:c>
      <x:c r="E211" s="2" t="s">
        <x:v>301</x:v>
      </x:c>
      <x:c r="F211" s="7">
        <x:v>0.10618</x:v>
      </x:c>
      <x:c r="G211" s="2" t="s">
        <x:v>302</x:v>
      </x:c>
      <x:c r="H211" s="8">
        <x:v>0.45</x:v>
      </x:c>
      <x:c r="I211" s="9" t="n">
        <x:f t="shared" si="3">IFERROR(ABS(F211)/H211,"")</x:f>
        <x:v>0.23595555555555553</x:v>
      </x:c>
      <x:c r="J211" s="2" t="s">
        <x:v>298</x:v>
      </x:c>
      <x:c r="K211" s="8">
        <x:v>0.95957999999999999</x:v>
      </x:c>
      <x:c r="L211" s="2" t="s">
        <x:v>299</x:v>
      </x:c>
      <x:c r="M211" s="2">
        <x:v>1</x:v>
      </x:c>
      <x:c r="N211" s="2" t="s">
        <x:v>79</x:v>
      </x:c>
      <x:c r="O211" s="5">
        <x:v>64</x:v>
      </x:c>
      <x:c r="P211" s="2">
        <x:v>376</x:v>
      </x:c>
      <x:c r="Q211" s="2" t="n">
        <x:f>IF(OR(J211="positive",J211="negative"),1,0)</x:f>
        <x:v>1</x:v>
      </x:c>
    </x:row>
    <x:row r="212" ht="15">
      <x:c r="A212" s="2" t="s">
        <x:v>33</x:v>
      </x:c>
      <x:c r="B212" s="2" t="s">
        <x:v>137</x:v>
      </x:c>
      <x:c r="C212" s="2">
        <x:v>3</x:v>
      </x:c>
      <x:c r="D212" s="2" t="s">
        <x:v>18</x:v>
      </x:c>
      <x:c r="E212" s="2" t="s">
        <x:v>303</x:v>
      </x:c>
      <x:c r="F212" s="7">
        <x:v>-3.2499999999999999E-3</x:v>
      </x:c>
      <x:c r="G212" s="2" t="s">
        <x:v>304</x:v>
      </x:c>
      <x:c r="H212" s="8">
        <x:v>7.4999999999999997E-2</x:v>
      </x:c>
      <x:c r="I212" s="9" t="n">
        <x:f t="shared" si="3">IFERROR(ABS(F212)/H212,"")</x:f>
        <x:v>0.043333333333333335</x:v>
      </x:c>
      <x:c r="J212" s="2" t="s">
        <x:v>298</x:v>
      </x:c>
      <x:c r="K212" s="8">
        <x:v>0.92239000000000004</x:v>
      </x:c>
      <x:c r="L212" s="2" t="s">
        <x:v>299</x:v>
      </x:c>
      <x:c r="M212" s="2">
        <x:v>1</x:v>
      </x:c>
      <x:c r="N212" s="2" t="s">
        <x:v>79</x:v>
      </x:c>
      <x:c r="O212" s="5">
        <x:v>64</x:v>
      </x:c>
      <x:c r="P212" s="2">
        <x:v>376</x:v>
      </x:c>
      <x:c r="Q212" s="2" t="n">
        <x:f>IF(OR(J212="positive",J212="negative"),1,0)</x:f>
        <x:v>1</x:v>
      </x:c>
    </x:row>
    <x:row r="213" ht="15">
      <x:c r="A213" s="2" t="s">
        <x:v>33</x:v>
      </x:c>
      <x:c r="B213" s="2" t="s">
        <x:v>137</x:v>
      </x:c>
      <x:c r="C213" s="2">
        <x:v>3</x:v>
      </x:c>
      <x:c r="D213" s="2" t="s">
        <x:v>305</x:v>
      </x:c>
      <x:c r="E213" s="2" t="s">
        <x:v>306</x:v>
      </x:c>
      <x:c r="F213" s="7">
        <x:v>1.6469999999999999E-2</x:v>
      </x:c>
      <x:c r="G213" s="2" t="s">
        <x:v>304</x:v>
      </x:c>
      <x:c r="H213" s="8">
        <x:v>0.3</x:v>
      </x:c>
      <x:c r="I213" s="9" t="n">
        <x:f t="shared" si="3">IFERROR(ABS(F213)/H213,"")</x:f>
        <x:v>0.0549</x:v>
      </x:c>
      <x:c r="J213" s="2" t="s">
        <x:v>298</x:v>
      </x:c>
      <x:c r="K213" s="8">
        <x:v>0.95301999999999998</x:v>
      </x:c>
      <x:c r="L213" s="2" t="s">
        <x:v>299</x:v>
      </x:c>
      <x:c r="M213" s="2">
        <x:v>1</x:v>
      </x:c>
      <x:c r="N213" s="2" t="s">
        <x:v>79</x:v>
      </x:c>
      <x:c r="O213" s="5">
        <x:v>64</x:v>
      </x:c>
      <x:c r="P213" s="2">
        <x:v>376</x:v>
      </x:c>
      <x:c r="Q213" s="2" t="n">
        <x:f>IF(OR(J213="positive",J213="negative"),1,0)</x:f>
        <x:v>1</x:v>
      </x:c>
    </x:row>
    <x:row r="214" ht="15">
      <x:c r="A214" s="2" t="s">
        <x:v>33</x:v>
      </x:c>
      <x:c r="B214" s="2" t="s">
        <x:v>138</x:v>
      </x:c>
      <x:c r="C214" s="2">
        <x:v>4</x:v>
      </x:c>
      <x:c r="D214" s="2" t="s">
        <x:v>295</x:v>
      </x:c>
      <x:c r="E214" s="2" t="s">
        <x:v>296</x:v>
      </x:c>
      <x:c r="F214" s="7">
        <x:v>0.10206</x:v>
      </x:c>
      <x:c r="G214" s="2" t="s">
        <x:v>297</x:v>
      </x:c>
      <x:c r="H214" s="8">
        <x:v>3.5</x:v>
      </x:c>
      <x:c r="I214" s="9" t="n">
        <x:f t="shared" si="3">IFERROR(ABS(F214)/H214,"")</x:f>
        <x:v>0.02916</x:v>
      </x:c>
      <x:c r="J214" s="2" t="s">
        <x:v>298</x:v>
      </x:c>
      <x:c r="K214" s="8">
        <x:v>0.92259000000000002</x:v>
      </x:c>
      <x:c r="L214" s="2" t="s">
        <x:v>299</x:v>
      </x:c>
      <x:c r="M214" s="2">
        <x:v>1</x:v>
      </x:c>
      <x:c r="N214" s="2" t="s">
        <x:v>79</x:v>
      </x:c>
      <x:c r="O214" s="5">
        <x:v>59.6</x:v>
      </x:c>
      <x:c r="P214" s="2">
        <x:v>258</x:v>
      </x:c>
      <x:c r="Q214" s="2" t="n">
        <x:f>IF(OR(J214="positive",J214="negative"),1,0)</x:f>
        <x:v>1</x:v>
      </x:c>
    </x:row>
    <x:row r="215" ht="15">
      <x:c r="A215" s="2" t="s">
        <x:v>33</x:v>
      </x:c>
      <x:c r="B215" s="2" t="s">
        <x:v>138</x:v>
      </x:c>
      <x:c r="C215" s="2">
        <x:v>4</x:v>
      </x:c>
      <x:c r="D215" s="2" t="s">
        <x:v>300</x:v>
      </x:c>
      <x:c r="E215" s="2" t="s">
        <x:v>301</x:v>
      </x:c>
      <x:c r="F215" s="7">
        <x:v>8.8830000000000006E-2</x:v>
      </x:c>
      <x:c r="G215" s="2" t="s">
        <x:v>302</x:v>
      </x:c>
      <x:c r="H215" s="8">
        <x:v>0.45</x:v>
      </x:c>
      <x:c r="I215" s="9" t="n">
        <x:f t="shared" si="3">IFERROR(ABS(F215)/H215,"")</x:f>
        <x:v>0.19740000000000002</x:v>
      </x:c>
      <x:c r="J215" s="2" t="s">
        <x:v>298</x:v>
      </x:c>
      <x:c r="K215" s="8">
        <x:v>0.94926999999999995</x:v>
      </x:c>
      <x:c r="L215" s="2" t="s">
        <x:v>299</x:v>
      </x:c>
      <x:c r="M215" s="2">
        <x:v>1</x:v>
      </x:c>
      <x:c r="N215" s="2" t="s">
        <x:v>79</x:v>
      </x:c>
      <x:c r="O215" s="5">
        <x:v>59.6</x:v>
      </x:c>
      <x:c r="P215" s="2">
        <x:v>258</x:v>
      </x:c>
      <x:c r="Q215" s="2" t="n">
        <x:f>IF(OR(J215="positive",J215="negative"),1,0)</x:f>
        <x:v>1</x:v>
      </x:c>
    </x:row>
    <x:row r="216" ht="15">
      <x:c r="A216" s="2" t="s">
        <x:v>33</x:v>
      </x:c>
      <x:c r="B216" s="2" t="s">
        <x:v>138</x:v>
      </x:c>
      <x:c r="C216" s="2">
        <x:v>4</x:v>
      </x:c>
      <x:c r="D216" s="2" t="s">
        <x:v>18</x:v>
      </x:c>
      <x:c r="E216" s="2" t="s">
        <x:v>303</x:v>
      </x:c>
      <x:c r="F216" s="7">
        <x:v>-8.0499999999999999E-3</x:v>
      </x:c>
      <x:c r="G216" s="2" t="s">
        <x:v>304</x:v>
      </x:c>
      <x:c r="H216" s="8">
        <x:v>7.4999999999999997E-2</x:v>
      </x:c>
      <x:c r="I216" s="9" t="n">
        <x:f t="shared" si="3">IFERROR(ABS(F216)/H216,"")</x:f>
        <x:v>0.10733333333333334</x:v>
      </x:c>
      <x:c r="J216" s="2" t="s">
        <x:v>298</x:v>
      </x:c>
      <x:c r="K216" s="8">
        <x:v>0.95538000000000001</x:v>
      </x:c>
      <x:c r="L216" s="2" t="s">
        <x:v>299</x:v>
      </x:c>
      <x:c r="M216" s="2">
        <x:v>1</x:v>
      </x:c>
      <x:c r="N216" s="2" t="s">
        <x:v>79</x:v>
      </x:c>
      <x:c r="O216" s="5">
        <x:v>59.6</x:v>
      </x:c>
      <x:c r="P216" s="2">
        <x:v>258</x:v>
      </x:c>
      <x:c r="Q216" s="2" t="n">
        <x:f>IF(OR(J216="positive",J216="negative"),1,0)</x:f>
        <x:v>1</x:v>
      </x:c>
    </x:row>
    <x:row r="217" ht="15">
      <x:c r="A217" s="2" t="s">
        <x:v>33</x:v>
      </x:c>
      <x:c r="B217" s="2" t="s">
        <x:v>138</x:v>
      </x:c>
      <x:c r="C217" s="2">
        <x:v>4</x:v>
      </x:c>
      <x:c r="D217" s="2" t="s">
        <x:v>305</x:v>
      </x:c>
      <x:c r="E217" s="2" t="s">
        <x:v>306</x:v>
      </x:c>
      <x:c r="F217" s="7">
        <x:v>2.7150000000000001E-2</x:v>
      </x:c>
      <x:c r="G217" s="2" t="s">
        <x:v>304</x:v>
      </x:c>
      <x:c r="H217" s="8">
        <x:v>0.3</x:v>
      </x:c>
      <x:c r="I217" s="9" t="n">
        <x:f t="shared" si="3">IFERROR(ABS(F217)/H217,"")</x:f>
        <x:v>0.09050000000000001</x:v>
      </x:c>
      <x:c r="J217" s="2" t="s">
        <x:v>298</x:v>
      </x:c>
      <x:c r="K217" s="8">
        <x:v>0.92788999999999999</x:v>
      </x:c>
      <x:c r="L217" s="2" t="s">
        <x:v>299</x:v>
      </x:c>
      <x:c r="M217" s="2">
        <x:v>1</x:v>
      </x:c>
      <x:c r="N217" s="2" t="s">
        <x:v>79</x:v>
      </x:c>
      <x:c r="O217" s="5">
        <x:v>59.6</x:v>
      </x:c>
      <x:c r="P217" s="2">
        <x:v>258</x:v>
      </x:c>
      <x:c r="Q217" s="2" t="n">
        <x:f>IF(OR(J217="positive",J217="negative"),1,0)</x:f>
        <x:v>1</x:v>
      </x:c>
    </x:row>
    <x:row r="218" ht="15">
      <x:c r="A218" s="2" t="s">
        <x:v>33</x:v>
      </x:c>
      <x:c r="B218" s="2" t="s">
        <x:v>139</x:v>
      </x:c>
      <x:c r="C218" s="2">
        <x:v>5</x:v>
      </x:c>
      <x:c r="D218" s="2" t="s">
        <x:v>295</x:v>
      </x:c>
      <x:c r="E218" s="2" t="s">
        <x:v>296</x:v>
      </x:c>
      <x:c r="F218" s="7">
        <x:v>0.20397999999999999</x:v>
      </x:c>
      <x:c r="G218" s="2" t="s">
        <x:v>297</x:v>
      </x:c>
      <x:c r="H218" s="8">
        <x:v>3.5</x:v>
      </x:c>
      <x:c r="I218" s="9" t="n">
        <x:f t="shared" si="3">IFERROR(ABS(F218)/H218,"")</x:f>
        <x:v>0.05828</x:v>
      </x:c>
      <x:c r="J218" s="2" t="s">
        <x:v>298</x:v>
      </x:c>
      <x:c r="K218" s="8">
        <x:v>0.92435999999999996</x:v>
      </x:c>
      <x:c r="L218" s="2" t="s">
        <x:v>299</x:v>
      </x:c>
      <x:c r="M218" s="2">
        <x:v>1</x:v>
      </x:c>
      <x:c r="N218" s="2" t="s">
        <x:v>79</x:v>
      </x:c>
      <x:c r="O218" s="5">
        <x:v>64.099999999999994</x:v>
      </x:c>
      <x:c r="P218" s="2">
        <x:v>464</x:v>
      </x:c>
      <x:c r="Q218" s="2" t="n">
        <x:f>IF(OR(J218="positive",J218="negative"),1,0)</x:f>
        <x:v>1</x:v>
      </x:c>
    </x:row>
    <x:row r="219" ht="15">
      <x:c r="A219" s="2" t="s">
        <x:v>33</x:v>
      </x:c>
      <x:c r="B219" s="2" t="s">
        <x:v>139</x:v>
      </x:c>
      <x:c r="C219" s="2">
        <x:v>5</x:v>
      </x:c>
      <x:c r="D219" s="2" t="s">
        <x:v>300</x:v>
      </x:c>
      <x:c r="E219" s="2" t="s">
        <x:v>301</x:v>
      </x:c>
      <x:c r="F219" s="7">
        <x:v>0.10070999999999999</x:v>
      </x:c>
      <x:c r="G219" s="2" t="s">
        <x:v>302</x:v>
      </x:c>
      <x:c r="H219" s="8">
        <x:v>0.45</x:v>
      </x:c>
      <x:c r="I219" s="9" t="n">
        <x:f t="shared" si="3">IFERROR(ABS(F219)/H219,"")</x:f>
        <x:v>0.22379999999999997</x:v>
      </x:c>
      <x:c r="J219" s="2" t="s">
        <x:v>298</x:v>
      </x:c>
      <x:c r="K219" s="8">
        <x:v>0.91281000000000001</x:v>
      </x:c>
      <x:c r="L219" s="2" t="s">
        <x:v>299</x:v>
      </x:c>
      <x:c r="M219" s="2">
        <x:v>1</x:v>
      </x:c>
      <x:c r="N219" s="2" t="s">
        <x:v>79</x:v>
      </x:c>
      <x:c r="O219" s="5">
        <x:v>64.099999999999994</x:v>
      </x:c>
      <x:c r="P219" s="2">
        <x:v>464</x:v>
      </x:c>
      <x:c r="Q219" s="2" t="n">
        <x:f>IF(OR(J219="positive",J219="negative"),1,0)</x:f>
        <x:v>1</x:v>
      </x:c>
    </x:row>
    <x:row r="220" ht="15">
      <x:c r="A220" s="2" t="s">
        <x:v>33</x:v>
      </x:c>
      <x:c r="B220" s="2" t="s">
        <x:v>139</x:v>
      </x:c>
      <x:c r="C220" s="2">
        <x:v>5</x:v>
      </x:c>
      <x:c r="D220" s="2" t="s">
        <x:v>18</x:v>
      </x:c>
      <x:c r="E220" s="2" t="s">
        <x:v>303</x:v>
      </x:c>
      <x:c r="F220" s="7">
        <x:v>-9.4699999999999993E-3</x:v>
      </x:c>
      <x:c r="G220" s="2" t="s">
        <x:v>304</x:v>
      </x:c>
      <x:c r="H220" s="8">
        <x:v>7.4999999999999997E-2</x:v>
      </x:c>
      <x:c r="I220" s="9" t="n">
        <x:f t="shared" si="3">IFERROR(ABS(F220)/H220,"")</x:f>
        <x:v>0.12626666666666667</x:v>
      </x:c>
      <x:c r="J220" s="2" t="s">
        <x:v>298</x:v>
      </x:c>
      <x:c r="K220" s="8">
        <x:v>0.93777999999999995</x:v>
      </x:c>
      <x:c r="L220" s="2" t="s">
        <x:v>299</x:v>
      </x:c>
      <x:c r="M220" s="2">
        <x:v>1</x:v>
      </x:c>
      <x:c r="N220" s="2" t="s">
        <x:v>79</x:v>
      </x:c>
      <x:c r="O220" s="5">
        <x:v>64.099999999999994</x:v>
      </x:c>
      <x:c r="P220" s="2">
        <x:v>464</x:v>
      </x:c>
      <x:c r="Q220" s="2" t="n">
        <x:f>IF(OR(J220="positive",J220="negative"),1,0)</x:f>
        <x:v>1</x:v>
      </x:c>
    </x:row>
    <x:row r="221" ht="15">
      <x:c r="A221" s="2" t="s">
        <x:v>33</x:v>
      </x:c>
      <x:c r="B221" s="2" t="s">
        <x:v>139</x:v>
      </x:c>
      <x:c r="C221" s="2">
        <x:v>5</x:v>
      </x:c>
      <x:c r="D221" s="2" t="s">
        <x:v>305</x:v>
      </x:c>
      <x:c r="E221" s="2" t="s">
        <x:v>306</x:v>
      </x:c>
      <x:c r="F221" s="7">
        <x:v>1.6979999999999999E-2</x:v>
      </x:c>
      <x:c r="G221" s="2" t="s">
        <x:v>304</x:v>
      </x:c>
      <x:c r="H221" s="8">
        <x:v>0.3</x:v>
      </x:c>
      <x:c r="I221" s="9" t="n">
        <x:f t="shared" si="3">IFERROR(ABS(F221)/H221,"")</x:f>
        <x:v>0.0566</x:v>
      </x:c>
      <x:c r="J221" s="2" t="s">
        <x:v>298</x:v>
      </x:c>
      <x:c r="K221" s="8">
        <x:v>0.92101999999999995</x:v>
      </x:c>
      <x:c r="L221" s="2" t="s">
        <x:v>299</x:v>
      </x:c>
      <x:c r="M221" s="2">
        <x:v>1</x:v>
      </x:c>
      <x:c r="N221" s="2" t="s">
        <x:v>79</x:v>
      </x:c>
      <x:c r="O221" s="5">
        <x:v>64.099999999999994</x:v>
      </x:c>
      <x:c r="P221" s="2">
        <x:v>464</x:v>
      </x:c>
      <x:c r="Q221" s="2" t="n">
        <x:f>IF(OR(J221="positive",J221="negative"),1,0)</x:f>
        <x:v>1</x:v>
      </x:c>
    </x:row>
    <x:row r="222" ht="15">
      <x:c r="A222" s="2" t="s">
        <x:v>34</x:v>
      </x:c>
      <x:c r="B222" s="2" t="s">
        <x:v>140</x:v>
      </x:c>
      <x:c r="C222" s="2">
        <x:v>1</x:v>
      </x:c>
      <x:c r="D222" s="2" t="s">
        <x:v>295</x:v>
      </x:c>
      <x:c r="E222" s="2" t="s">
        <x:v>296</x:v>
      </x:c>
      <x:c r="F222" s="7">
        <x:v>0.64476999999999995</x:v>
      </x:c>
      <x:c r="G222" s="2" t="s">
        <x:v>297</x:v>
      </x:c>
      <x:c r="H222" s="8">
        <x:v>3.5</x:v>
      </x:c>
      <x:c r="I222" s="9" t="n">
        <x:f t="shared" si="3">IFERROR(ABS(F222)/H222,"")</x:f>
        <x:v>0.18422</x:v>
      </x:c>
      <x:c r="J222" s="2" t="s">
        <x:v>298</x:v>
      </x:c>
      <x:c r="K222" s="8">
        <x:v>0.96914</x:v>
      </x:c>
      <x:c r="L222" s="2" t="s">
        <x:v>299</x:v>
      </x:c>
      <x:c r="M222" s="2">
        <x:v>1</x:v>
      </x:c>
      <x:c r="N222" s="2" t="s">
        <x:v>79</x:v>
      </x:c>
      <x:c r="O222" s="5">
        <x:v>64.3</x:v>
      </x:c>
      <x:c r="P222" s="2">
        <x:v>536</x:v>
      </x:c>
      <x:c r="Q222" s="2" t="n">
        <x:f>IF(OR(J222="positive",J222="negative"),1,0)</x:f>
        <x:v>1</x:v>
      </x:c>
    </x:row>
    <x:row r="223" ht="15">
      <x:c r="A223" s="2" t="s">
        <x:v>34</x:v>
      </x:c>
      <x:c r="B223" s="2" t="s">
        <x:v>140</x:v>
      </x:c>
      <x:c r="C223" s="2">
        <x:v>1</x:v>
      </x:c>
      <x:c r="D223" s="2" t="s">
        <x:v>300</x:v>
      </x:c>
      <x:c r="E223" s="2" t="s">
        <x:v>301</x:v>
      </x:c>
      <x:c r="F223" s="7">
        <x:v>9.9769999999999998E-2</x:v>
      </x:c>
      <x:c r="G223" s="2" t="s">
        <x:v>302</x:v>
      </x:c>
      <x:c r="H223" s="8">
        <x:v>0.45</x:v>
      </x:c>
      <x:c r="I223" s="9" t="n">
        <x:f t="shared" si="3">IFERROR(ABS(F223)/H223,"")</x:f>
        <x:v>0.2217111111111111</x:v>
      </x:c>
      <x:c r="J223" s="2" t="s">
        <x:v>298</x:v>
      </x:c>
      <x:c r="K223" s="8">
        <x:v>0.91576000000000002</x:v>
      </x:c>
      <x:c r="L223" s="2" t="s">
        <x:v>299</x:v>
      </x:c>
      <x:c r="M223" s="2">
        <x:v>1</x:v>
      </x:c>
      <x:c r="N223" s="2" t="s">
        <x:v>79</x:v>
      </x:c>
      <x:c r="O223" s="5">
        <x:v>64.3</x:v>
      </x:c>
      <x:c r="P223" s="2">
        <x:v>536</x:v>
      </x:c>
      <x:c r="Q223" s="2" t="n">
        <x:f>IF(OR(J223="positive",J223="negative"),1,0)</x:f>
        <x:v>1</x:v>
      </x:c>
    </x:row>
    <x:row r="224" ht="15">
      <x:c r="A224" s="2" t="s">
        <x:v>34</x:v>
      </x:c>
      <x:c r="B224" s="2" t="s">
        <x:v>140</x:v>
      </x:c>
      <x:c r="C224" s="2">
        <x:v>1</x:v>
      </x:c>
      <x:c r="D224" s="2" t="s">
        <x:v>18</x:v>
      </x:c>
      <x:c r="E224" s="2" t="s">
        <x:v>303</x:v>
      </x:c>
      <x:c r="F224" s="7">
        <x:v>2.07E-2</x:v>
      </x:c>
      <x:c r="G224" s="2" t="s">
        <x:v>304</x:v>
      </x:c>
      <x:c r="H224" s="8">
        <x:v>7.4999999999999997E-2</x:v>
      </x:c>
      <x:c r="I224" s="9" t="n">
        <x:f t="shared" si="3">IFERROR(ABS(F224)/H224,"")</x:f>
        <x:v>0.276</x:v>
      </x:c>
      <x:c r="J224" s="2" t="s">
        <x:v>298</x:v>
      </x:c>
      <x:c r="K224" s="8">
        <x:v>0.95354000000000005</x:v>
      </x:c>
      <x:c r="L224" s="2" t="s">
        <x:v>299</x:v>
      </x:c>
      <x:c r="M224" s="2">
        <x:v>1</x:v>
      </x:c>
      <x:c r="N224" s="2" t="s">
        <x:v>79</x:v>
      </x:c>
      <x:c r="O224" s="5">
        <x:v>64.3</x:v>
      </x:c>
      <x:c r="P224" s="2">
        <x:v>536</x:v>
      </x:c>
      <x:c r="Q224" s="2" t="n">
        <x:f>IF(OR(J224="positive",J224="negative"),1,0)</x:f>
        <x:v>1</x:v>
      </x:c>
    </x:row>
    <x:row r="225" ht="15">
      <x:c r="A225" s="2" t="s">
        <x:v>34</x:v>
      </x:c>
      <x:c r="B225" s="2" t="s">
        <x:v>140</x:v>
      </x:c>
      <x:c r="C225" s="2">
        <x:v>1</x:v>
      </x:c>
      <x:c r="D225" s="2" t="s">
        <x:v>305</x:v>
      </x:c>
      <x:c r="E225" s="2" t="s">
        <x:v>306</x:v>
      </x:c>
      <x:c r="F225" s="7">
        <x:v>6.9300000000000004E-3</x:v>
      </x:c>
      <x:c r="G225" s="2" t="s">
        <x:v>304</x:v>
      </x:c>
      <x:c r="H225" s="8">
        <x:v>0.3</x:v>
      </x:c>
      <x:c r="I225" s="9" t="n">
        <x:f t="shared" si="3">IFERROR(ABS(F225)/H225,"")</x:f>
        <x:v>0.023100000000000002</x:v>
      </x:c>
      <x:c r="J225" s="2" t="s">
        <x:v>298</x:v>
      </x:c>
      <x:c r="K225" s="8">
        <x:v>0.92749000000000004</x:v>
      </x:c>
      <x:c r="L225" s="2" t="s">
        <x:v>299</x:v>
      </x:c>
      <x:c r="M225" s="2">
        <x:v>1</x:v>
      </x:c>
      <x:c r="N225" s="2" t="s">
        <x:v>79</x:v>
      </x:c>
      <x:c r="O225" s="5">
        <x:v>64.3</x:v>
      </x:c>
      <x:c r="P225" s="2">
        <x:v>536</x:v>
      </x:c>
      <x:c r="Q225" s="2" t="n">
        <x:f>IF(OR(J225="positive",J225="negative"),1,0)</x:f>
        <x:v>1</x:v>
      </x:c>
    </x:row>
    <x:row r="226" ht="15">
      <x:c r="A226" s="2" t="s">
        <x:v>34</x:v>
      </x:c>
      <x:c r="B226" s="2" t="s">
        <x:v>141</x:v>
      </x:c>
      <x:c r="C226" s="2">
        <x:v>2</x:v>
      </x:c>
      <x:c r="D226" s="2" t="s">
        <x:v>295</x:v>
      </x:c>
      <x:c r="E226" s="2" t="s">
        <x:v>296</x:v>
      </x:c>
      <x:c r="F226" s="7">
        <x:v>0.57303999999999999</x:v>
      </x:c>
      <x:c r="G226" s="2" t="s">
        <x:v>297</x:v>
      </x:c>
      <x:c r="H226" s="8">
        <x:v>3.5</x:v>
      </x:c>
      <x:c r="I226" s="9" t="n">
        <x:f t="shared" si="3">IFERROR(ABS(F226)/H226,"")</x:f>
        <x:v>0.16372571428571428</x:v>
      </x:c>
      <x:c r="J226" s="2" t="s">
        <x:v>298</x:v>
      </x:c>
      <x:c r="K226" s="8">
        <x:v>0.90378000000000003</x:v>
      </x:c>
      <x:c r="L226" s="2" t="s">
        <x:v>299</x:v>
      </x:c>
      <x:c r="M226" s="2">
        <x:v>1</x:v>
      </x:c>
      <x:c r="N226" s="2" t="s">
        <x:v>79</x:v>
      </x:c>
      <x:c r="O226" s="5">
        <x:v>62.5</x:v>
      </x:c>
      <x:c r="P226" s="2">
        <x:v>425</x:v>
      </x:c>
      <x:c r="Q226" s="2" t="n">
        <x:f>IF(OR(J226="positive",J226="negative"),1,0)</x:f>
        <x:v>1</x:v>
      </x:c>
    </x:row>
    <x:row r="227" ht="15">
      <x:c r="A227" s="2" t="s">
        <x:v>34</x:v>
      </x:c>
      <x:c r="B227" s="2" t="s">
        <x:v>141</x:v>
      </x:c>
      <x:c r="C227" s="2">
        <x:v>2</x:v>
      </x:c>
      <x:c r="D227" s="2" t="s">
        <x:v>300</x:v>
      </x:c>
      <x:c r="E227" s="2" t="s">
        <x:v>301</x:v>
      </x:c>
      <x:c r="F227" s="7">
        <x:v>8.4209999999999993E-2</x:v>
      </x:c>
      <x:c r="G227" s="2" t="s">
        <x:v>302</x:v>
      </x:c>
      <x:c r="H227" s="8">
        <x:v>0.45</x:v>
      </x:c>
      <x:c r="I227" s="9" t="n">
        <x:f t="shared" si="3">IFERROR(ABS(F227)/H227,"")</x:f>
        <x:v>0.18713333333333332</x:v>
      </x:c>
      <x:c r="J227" s="2" t="s">
        <x:v>298</x:v>
      </x:c>
      <x:c r="K227" s="8">
        <x:v>0.89087000000000005</x:v>
      </x:c>
      <x:c r="L227" s="2" t="s">
        <x:v>299</x:v>
      </x:c>
      <x:c r="M227" s="2">
        <x:v>1</x:v>
      </x:c>
      <x:c r="N227" s="2" t="s">
        <x:v>79</x:v>
      </x:c>
      <x:c r="O227" s="5">
        <x:v>62.5</x:v>
      </x:c>
      <x:c r="P227" s="2">
        <x:v>425</x:v>
      </x:c>
      <x:c r="Q227" s="2" t="n">
        <x:f>IF(OR(J227="positive",J227="negative"),1,0)</x:f>
        <x:v>1</x:v>
      </x:c>
    </x:row>
    <x:row r="228" ht="15">
      <x:c r="A228" s="2" t="s">
        <x:v>34</x:v>
      </x:c>
      <x:c r="B228" s="2" t="s">
        <x:v>141</x:v>
      </x:c>
      <x:c r="C228" s="2">
        <x:v>2</x:v>
      </x:c>
      <x:c r="D228" s="2" t="s">
        <x:v>18</x:v>
      </x:c>
      <x:c r="E228" s="2" t="s">
        <x:v>303</x:v>
      </x:c>
      <x:c r="F228" s="7">
        <x:v>2.5680000000000001E-2</x:v>
      </x:c>
      <x:c r="G228" s="2" t="s">
        <x:v>304</x:v>
      </x:c>
      <x:c r="H228" s="8">
        <x:v>7.4999999999999997E-2</x:v>
      </x:c>
      <x:c r="I228" s="9" t="n">
        <x:f t="shared" si="3">IFERROR(ABS(F228)/H228,"")</x:f>
        <x:v>0.34240000000000004</x:v>
      </x:c>
      <x:c r="J228" s="2" t="s">
        <x:v>298</x:v>
      </x:c>
      <x:c r="K228" s="8">
        <x:v>0.97672000000000003</x:v>
      </x:c>
      <x:c r="L228" s="2" t="s">
        <x:v>299</x:v>
      </x:c>
      <x:c r="M228" s="2">
        <x:v>1</x:v>
      </x:c>
      <x:c r="N228" s="2" t="s">
        <x:v>79</x:v>
      </x:c>
      <x:c r="O228" s="5">
        <x:v>62.5</x:v>
      </x:c>
      <x:c r="P228" s="2">
        <x:v>425</x:v>
      </x:c>
      <x:c r="Q228" s="2" t="n">
        <x:f>IF(OR(J228="positive",J228="negative"),1,0)</x:f>
        <x:v>1</x:v>
      </x:c>
    </x:row>
    <x:row r="229" ht="15">
      <x:c r="A229" s="2" t="s">
        <x:v>34</x:v>
      </x:c>
      <x:c r="B229" s="2" t="s">
        <x:v>141</x:v>
      </x:c>
      <x:c r="C229" s="2">
        <x:v>2</x:v>
      </x:c>
      <x:c r="D229" s="2" t="s">
        <x:v>305</x:v>
      </x:c>
      <x:c r="E229" s="2" t="s">
        <x:v>306</x:v>
      </x:c>
      <x:c r="F229" s="7">
        <x:v>-9.8099999999999993E-3</x:v>
      </x:c>
      <x:c r="G229" s="2" t="s">
        <x:v>304</x:v>
      </x:c>
      <x:c r="H229" s="8">
        <x:v>0.3</x:v>
      </x:c>
      <x:c r="I229" s="9" t="n">
        <x:f t="shared" si="3">IFERROR(ABS(F229)/H229,"")</x:f>
        <x:v>0.0327</x:v>
      </x:c>
      <x:c r="J229" s="2" t="s">
        <x:v>298</x:v>
      </x:c>
      <x:c r="K229" s="8">
        <x:v>0.93991999999999998</x:v>
      </x:c>
      <x:c r="L229" s="2" t="s">
        <x:v>299</x:v>
      </x:c>
      <x:c r="M229" s="2">
        <x:v>1</x:v>
      </x:c>
      <x:c r="N229" s="2" t="s">
        <x:v>79</x:v>
      </x:c>
      <x:c r="O229" s="5">
        <x:v>62.5</x:v>
      </x:c>
      <x:c r="P229" s="2">
        <x:v>425</x:v>
      </x:c>
      <x:c r="Q229" s="2" t="n">
        <x:f>IF(OR(J229="positive",J229="negative"),1,0)</x:f>
        <x:v>1</x:v>
      </x:c>
    </x:row>
    <x:row r="230" ht="15">
      <x:c r="A230" s="2" t="s">
        <x:v>34</x:v>
      </x:c>
      <x:c r="B230" s="2" t="s">
        <x:v>142</x:v>
      </x:c>
      <x:c r="C230" s="2">
        <x:v>3</x:v>
      </x:c>
      <x:c r="D230" s="2" t="s">
        <x:v>295</x:v>
      </x:c>
      <x:c r="E230" s="2" t="s">
        <x:v>296</x:v>
      </x:c>
      <x:c r="F230" s="7">
        <x:v>0.32266</x:v>
      </x:c>
      <x:c r="G230" s="2" t="s">
        <x:v>297</x:v>
      </x:c>
      <x:c r="H230" s="8">
        <x:v>3.5</x:v>
      </x:c>
      <x:c r="I230" s="9" t="n">
        <x:f t="shared" si="3">IFERROR(ABS(F230)/H230,"")</x:f>
        <x:v>0.09218857142857143</x:v>
      </x:c>
      <x:c r="J230" s="2" t="s">
        <x:v>298</x:v>
      </x:c>
      <x:c r="K230" s="8">
        <x:v>0.93888000000000005</x:v>
      </x:c>
      <x:c r="L230" s="2" t="s">
        <x:v>299</x:v>
      </x:c>
      <x:c r="M230" s="2">
        <x:v>1</x:v>
      </x:c>
      <x:c r="N230" s="2" t="s">
        <x:v>79</x:v>
      </x:c>
      <x:c r="O230" s="5">
        <x:v>61.9</x:v>
      </x:c>
      <x:c r="P230" s="2">
        <x:v>446</x:v>
      </x:c>
      <x:c r="Q230" s="2" t="n">
        <x:f>IF(OR(J230="positive",J230="negative"),1,0)</x:f>
        <x:v>1</x:v>
      </x:c>
    </x:row>
    <x:row r="231" ht="15">
      <x:c r="A231" s="2" t="s">
        <x:v>34</x:v>
      </x:c>
      <x:c r="B231" s="2" t="s">
        <x:v>142</x:v>
      </x:c>
      <x:c r="C231" s="2">
        <x:v>3</x:v>
      </x:c>
      <x:c r="D231" s="2" t="s">
        <x:v>300</x:v>
      </x:c>
      <x:c r="E231" s="2" t="s">
        <x:v>301</x:v>
      </x:c>
      <x:c r="F231" s="7">
        <x:v>0.10358000000000001</x:v>
      </x:c>
      <x:c r="G231" s="2" t="s">
        <x:v>302</x:v>
      </x:c>
      <x:c r="H231" s="8">
        <x:v>0.45</x:v>
      </x:c>
      <x:c r="I231" s="9" t="n">
        <x:f t="shared" si="3">IFERROR(ABS(F231)/H231,"")</x:f>
        <x:v>0.2301777777777778</x:v>
      </x:c>
      <x:c r="J231" s="2" t="s">
        <x:v>298</x:v>
      </x:c>
      <x:c r="K231" s="8">
        <x:v>0.94060999999999995</x:v>
      </x:c>
      <x:c r="L231" s="2" t="s">
        <x:v>299</x:v>
      </x:c>
      <x:c r="M231" s="2">
        <x:v>1</x:v>
      </x:c>
      <x:c r="N231" s="2" t="s">
        <x:v>79</x:v>
      </x:c>
      <x:c r="O231" s="5">
        <x:v>61.9</x:v>
      </x:c>
      <x:c r="P231" s="2">
        <x:v>446</x:v>
      </x:c>
      <x:c r="Q231" s="2" t="n">
        <x:f>IF(OR(J231="positive",J231="negative"),1,0)</x:f>
        <x:v>1</x:v>
      </x:c>
    </x:row>
    <x:row r="232" ht="15">
      <x:c r="A232" s="2" t="s">
        <x:v>34</x:v>
      </x:c>
      <x:c r="B232" s="2" t="s">
        <x:v>142</x:v>
      </x:c>
      <x:c r="C232" s="2">
        <x:v>3</x:v>
      </x:c>
      <x:c r="D232" s="2" t="s">
        <x:v>18</x:v>
      </x:c>
      <x:c r="E232" s="2" t="s">
        <x:v>303</x:v>
      </x:c>
      <x:c r="F232" s="7">
        <x:v>1.225E-2</x:v>
      </x:c>
      <x:c r="G232" s="2" t="s">
        <x:v>304</x:v>
      </x:c>
      <x:c r="H232" s="8">
        <x:v>7.4999999999999997E-2</x:v>
      </x:c>
      <x:c r="I232" s="9" t="n">
        <x:f t="shared" si="3">IFERROR(ABS(F232)/H232,"")</x:f>
        <x:v>0.16333333333333336</x:v>
      </x:c>
      <x:c r="J232" s="2" t="s">
        <x:v>298</x:v>
      </x:c>
      <x:c r="K232" s="8">
        <x:v>0.97912999999999994</x:v>
      </x:c>
      <x:c r="L232" s="2" t="s">
        <x:v>299</x:v>
      </x:c>
      <x:c r="M232" s="2">
        <x:v>1</x:v>
      </x:c>
      <x:c r="N232" s="2" t="s">
        <x:v>79</x:v>
      </x:c>
      <x:c r="O232" s="5">
        <x:v>61.9</x:v>
      </x:c>
      <x:c r="P232" s="2">
        <x:v>446</x:v>
      </x:c>
      <x:c r="Q232" s="2" t="n">
        <x:f>IF(OR(J232="positive",J232="negative"),1,0)</x:f>
        <x:v>1</x:v>
      </x:c>
    </x:row>
    <x:row r="233" ht="15">
      <x:c r="A233" s="2" t="s">
        <x:v>34</x:v>
      </x:c>
      <x:c r="B233" s="2" t="s">
        <x:v>142</x:v>
      </x:c>
      <x:c r="C233" s="2">
        <x:v>3</x:v>
      </x:c>
      <x:c r="D233" s="2" t="s">
        <x:v>305</x:v>
      </x:c>
      <x:c r="E233" s="2" t="s">
        <x:v>306</x:v>
      </x:c>
      <x:c r="F233" s="7">
        <x:v>4.7600000000000003E-3</x:v>
      </x:c>
      <x:c r="G233" s="2" t="s">
        <x:v>304</x:v>
      </x:c>
      <x:c r="H233" s="8">
        <x:v>0.3</x:v>
      </x:c>
      <x:c r="I233" s="9" t="n">
        <x:f t="shared" si="3">IFERROR(ABS(F233)/H233,"")</x:f>
        <x:v>0.015866666666666668</x:v>
      </x:c>
      <x:c r="J233" s="2" t="s">
        <x:v>298</x:v>
      </x:c>
      <x:c r="K233" s="8">
        <x:v>0.92359999999999998</x:v>
      </x:c>
      <x:c r="L233" s="2" t="s">
        <x:v>299</x:v>
      </x:c>
      <x:c r="M233" s="2">
        <x:v>1</x:v>
      </x:c>
      <x:c r="N233" s="2" t="s">
        <x:v>79</x:v>
      </x:c>
      <x:c r="O233" s="5">
        <x:v>61.9</x:v>
      </x:c>
      <x:c r="P233" s="2">
        <x:v>446</x:v>
      </x:c>
      <x:c r="Q233" s="2" t="n">
        <x:f>IF(OR(J233="positive",J233="negative"),1,0)</x:f>
        <x:v>1</x:v>
      </x:c>
    </x:row>
    <x:row r="234" ht="15">
      <x:c r="A234" s="2" t="s">
        <x:v>34</x:v>
      </x:c>
      <x:c r="B234" s="2" t="s">
        <x:v>143</x:v>
      </x:c>
      <x:c r="C234" s="2">
        <x:v>4</x:v>
      </x:c>
      <x:c r="D234" s="2" t="s">
        <x:v>295</x:v>
      </x:c>
      <x:c r="E234" s="2" t="s">
        <x:v>296</x:v>
      </x:c>
      <x:c r="F234" s="7">
        <x:v>0.85402999999999996</x:v>
      </x:c>
      <x:c r="G234" s="2" t="s">
        <x:v>297</x:v>
      </x:c>
      <x:c r="H234" s="8">
        <x:v>3.5</x:v>
      </x:c>
      <x:c r="I234" s="9" t="n">
        <x:f t="shared" si="3">IFERROR(ABS(F234)/H234,"")</x:f>
        <x:v>0.2440085714285714</x:v>
      </x:c>
      <x:c r="J234" s="2" t="s">
        <x:v>298</x:v>
      </x:c>
      <x:c r="K234" s="8">
        <x:v>0.95828000000000002</x:v>
      </x:c>
      <x:c r="L234" s="2" t="s">
        <x:v>299</x:v>
      </x:c>
      <x:c r="M234" s="2">
        <x:v>1</x:v>
      </x:c>
      <x:c r="N234" s="2" t="s">
        <x:v>79</x:v>
      </x:c>
      <x:c r="O234" s="5">
        <x:v>64</x:v>
      </x:c>
      <x:c r="P234" s="2">
        <x:v>290</x:v>
      </x:c>
      <x:c r="Q234" s="2" t="n">
        <x:f>IF(OR(J234="positive",J234="negative"),1,0)</x:f>
        <x:v>1</x:v>
      </x:c>
    </x:row>
    <x:row r="235" ht="15">
      <x:c r="A235" s="2" t="s">
        <x:v>34</x:v>
      </x:c>
      <x:c r="B235" s="2" t="s">
        <x:v>143</x:v>
      </x:c>
      <x:c r="C235" s="2">
        <x:v>4</x:v>
      </x:c>
      <x:c r="D235" s="2" t="s">
        <x:v>300</x:v>
      </x:c>
      <x:c r="E235" s="2" t="s">
        <x:v>301</x:v>
      </x:c>
      <x:c r="F235" s="7">
        <x:v>8.7660000000000002E-2</x:v>
      </x:c>
      <x:c r="G235" s="2" t="s">
        <x:v>302</x:v>
      </x:c>
      <x:c r="H235" s="8">
        <x:v>0.45</x:v>
      </x:c>
      <x:c r="I235" s="9" t="n">
        <x:f t="shared" si="3">IFERROR(ABS(F235)/H235,"")</x:f>
        <x:v>0.1948</x:v>
      </x:c>
      <x:c r="J235" s="2" t="s">
        <x:v>298</x:v>
      </x:c>
      <x:c r="K235" s="8">
        <x:v>0.88532</x:v>
      </x:c>
      <x:c r="L235" s="2" t="s">
        <x:v>299</x:v>
      </x:c>
      <x:c r="M235" s="2">
        <x:v>1</x:v>
      </x:c>
      <x:c r="N235" s="2" t="s">
        <x:v>79</x:v>
      </x:c>
      <x:c r="O235" s="5">
        <x:v>64</x:v>
      </x:c>
      <x:c r="P235" s="2">
        <x:v>290</x:v>
      </x:c>
      <x:c r="Q235" s="2" t="n">
        <x:f>IF(OR(J235="positive",J235="negative"),1,0)</x:f>
        <x:v>1</x:v>
      </x:c>
    </x:row>
    <x:row r="236" ht="15">
      <x:c r="A236" s="2" t="s">
        <x:v>34</x:v>
      </x:c>
      <x:c r="B236" s="2" t="s">
        <x:v>143</x:v>
      </x:c>
      <x:c r="C236" s="2">
        <x:v>4</x:v>
      </x:c>
      <x:c r="D236" s="2" t="s">
        <x:v>18</x:v>
      </x:c>
      <x:c r="E236" s="2" t="s">
        <x:v>303</x:v>
      </x:c>
      <x:c r="F236" s="7">
        <x:v>2.0979999999999999E-2</x:v>
      </x:c>
      <x:c r="G236" s="2" t="s">
        <x:v>304</x:v>
      </x:c>
      <x:c r="H236" s="8">
        <x:v>7.4999999999999997E-2</x:v>
      </x:c>
      <x:c r="I236" s="9" t="n">
        <x:f t="shared" si="3">IFERROR(ABS(F236)/H236,"")</x:f>
        <x:v>0.27973333333333333</x:v>
      </x:c>
      <x:c r="J236" s="2" t="s">
        <x:v>298</x:v>
      </x:c>
      <x:c r="K236" s="8">
        <x:v>0.96723000000000003</x:v>
      </x:c>
      <x:c r="L236" s="2" t="s">
        <x:v>299</x:v>
      </x:c>
      <x:c r="M236" s="2">
        <x:v>1</x:v>
      </x:c>
      <x:c r="N236" s="2" t="s">
        <x:v>79</x:v>
      </x:c>
      <x:c r="O236" s="5">
        <x:v>64</x:v>
      </x:c>
      <x:c r="P236" s="2">
        <x:v>290</x:v>
      </x:c>
      <x:c r="Q236" s="2" t="n">
        <x:f>IF(OR(J236="positive",J236="negative"),1,0)</x:f>
        <x:v>1</x:v>
      </x:c>
    </x:row>
    <x:row r="237" ht="15">
      <x:c r="A237" s="2" t="s">
        <x:v>34</x:v>
      </x:c>
      <x:c r="B237" s="2" t="s">
        <x:v>143</x:v>
      </x:c>
      <x:c r="C237" s="2">
        <x:v>4</x:v>
      </x:c>
      <x:c r="D237" s="2" t="s">
        <x:v>305</x:v>
      </x:c>
      <x:c r="E237" s="2" t="s">
        <x:v>306</x:v>
      </x:c>
      <x:c r="F237" s="7">
        <x:v>-1.304E-2</x:v>
      </x:c>
      <x:c r="G237" s="2" t="s">
        <x:v>304</x:v>
      </x:c>
      <x:c r="H237" s="8">
        <x:v>0.3</x:v>
      </x:c>
      <x:c r="I237" s="9" t="n">
        <x:f t="shared" si="3">IFERROR(ABS(F237)/H237,"")</x:f>
        <x:v>0.04346666666666667</x:v>
      </x:c>
      <x:c r="J237" s="2" t="s">
        <x:v>298</x:v>
      </x:c>
      <x:c r="K237" s="8">
        <x:v>0.97377000000000002</x:v>
      </x:c>
      <x:c r="L237" s="2" t="s">
        <x:v>299</x:v>
      </x:c>
      <x:c r="M237" s="2">
        <x:v>1</x:v>
      </x:c>
      <x:c r="N237" s="2" t="s">
        <x:v>79</x:v>
      </x:c>
      <x:c r="O237" s="5">
        <x:v>64</x:v>
      </x:c>
      <x:c r="P237" s="2">
        <x:v>290</x:v>
      </x:c>
      <x:c r="Q237" s="2" t="n">
        <x:f>IF(OR(J237="positive",J237="negative"),1,0)</x:f>
        <x:v>1</x:v>
      </x:c>
    </x:row>
    <x:row r="238" ht="15">
      <x:c r="A238" s="2" t="s">
        <x:v>34</x:v>
      </x:c>
      <x:c r="B238" s="2" t="s">
        <x:v>144</x:v>
      </x:c>
      <x:c r="C238" s="2">
        <x:v>5</x:v>
      </x:c>
      <x:c r="D238" s="2" t="s">
        <x:v>295</x:v>
      </x:c>
      <x:c r="E238" s="2" t="s">
        <x:v>296</x:v>
      </x:c>
      <x:c r="F238" s="7">
        <x:v>0.35474</x:v>
      </x:c>
      <x:c r="G238" s="2" t="s">
        <x:v>297</x:v>
      </x:c>
      <x:c r="H238" s="8">
        <x:v>3.5</x:v>
      </x:c>
      <x:c r="I238" s="9" t="n">
        <x:f t="shared" si="3">IFERROR(ABS(F238)/H238,"")</x:f>
        <x:v>0.10135428571428572</x:v>
      </x:c>
      <x:c r="J238" s="2" t="s">
        <x:v>298</x:v>
      </x:c>
      <x:c r="K238" s="8">
        <x:v>0.96741999999999995</x:v>
      </x:c>
      <x:c r="L238" s="2" t="s">
        <x:v>299</x:v>
      </x:c>
      <x:c r="M238" s="2">
        <x:v>1</x:v>
      </x:c>
      <x:c r="N238" s="2" t="s">
        <x:v>79</x:v>
      </x:c>
      <x:c r="O238" s="5">
        <x:v>63</x:v>
      </x:c>
      <x:c r="P238" s="2">
        <x:v>457</x:v>
      </x:c>
      <x:c r="Q238" s="2" t="n">
        <x:f>IF(OR(J238="positive",J238="negative"),1,0)</x:f>
        <x:v>1</x:v>
      </x:c>
    </x:row>
    <x:row r="239" ht="15">
      <x:c r="A239" s="2" t="s">
        <x:v>34</x:v>
      </x:c>
      <x:c r="B239" s="2" t="s">
        <x:v>144</x:v>
      </x:c>
      <x:c r="C239" s="2">
        <x:v>5</x:v>
      </x:c>
      <x:c r="D239" s="2" t="s">
        <x:v>300</x:v>
      </x:c>
      <x:c r="E239" s="2" t="s">
        <x:v>301</x:v>
      </x:c>
      <x:c r="F239" s="7">
        <x:v>0.11987</x:v>
      </x:c>
      <x:c r="G239" s="2" t="s">
        <x:v>302</x:v>
      </x:c>
      <x:c r="H239" s="8">
        <x:v>0.45</x:v>
      </x:c>
      <x:c r="I239" s="9" t="n">
        <x:f t="shared" si="3">IFERROR(ABS(F239)/H239,"")</x:f>
        <x:v>0.26637777777777777</x:v>
      </x:c>
      <x:c r="J239" s="2" t="s">
        <x:v>298</x:v>
      </x:c>
      <x:c r="K239" s="8">
        <x:v>0.91180000000000005</x:v>
      </x:c>
      <x:c r="L239" s="2" t="s">
        <x:v>299</x:v>
      </x:c>
      <x:c r="M239" s="2">
        <x:v>1</x:v>
      </x:c>
      <x:c r="N239" s="2" t="s">
        <x:v>79</x:v>
      </x:c>
      <x:c r="O239" s="5">
        <x:v>63</x:v>
      </x:c>
      <x:c r="P239" s="2">
        <x:v>457</x:v>
      </x:c>
      <x:c r="Q239" s="2" t="n">
        <x:f>IF(OR(J239="positive",J239="negative"),1,0)</x:f>
        <x:v>1</x:v>
      </x:c>
    </x:row>
    <x:row r="240" ht="15">
      <x:c r="A240" s="2" t="s">
        <x:v>34</x:v>
      </x:c>
      <x:c r="B240" s="2" t="s">
        <x:v>144</x:v>
      </x:c>
      <x:c r="C240" s="2">
        <x:v>5</x:v>
      </x:c>
      <x:c r="D240" s="2" t="s">
        <x:v>18</x:v>
      </x:c>
      <x:c r="E240" s="2" t="s">
        <x:v>303</x:v>
      </x:c>
      <x:c r="F240" s="7">
        <x:v>1.9220000000000001E-2</x:v>
      </x:c>
      <x:c r="G240" s="2" t="s">
        <x:v>304</x:v>
      </x:c>
      <x:c r="H240" s="8">
        <x:v>7.4999999999999997E-2</x:v>
      </x:c>
      <x:c r="I240" s="9" t="n">
        <x:f t="shared" si="3">IFERROR(ABS(F240)/H240,"")</x:f>
        <x:v>0.2562666666666667</x:v>
      </x:c>
      <x:c r="J240" s="2" t="s">
        <x:v>298</x:v>
      </x:c>
      <x:c r="K240" s="8">
        <x:v>0.89932000000000001</x:v>
      </x:c>
      <x:c r="L240" s="2" t="s">
        <x:v>299</x:v>
      </x:c>
      <x:c r="M240" s="2">
        <x:v>1</x:v>
      </x:c>
      <x:c r="N240" s="2" t="s">
        <x:v>79</x:v>
      </x:c>
      <x:c r="O240" s="5">
        <x:v>63</x:v>
      </x:c>
      <x:c r="P240" s="2">
        <x:v>457</x:v>
      </x:c>
      <x:c r="Q240" s="2" t="n">
        <x:f>IF(OR(J240="positive",J240="negative"),1,0)</x:f>
        <x:v>1</x:v>
      </x:c>
    </x:row>
    <x:row r="241" ht="15">
      <x:c r="A241" s="2" t="s">
        <x:v>34</x:v>
      </x:c>
      <x:c r="B241" s="2" t="s">
        <x:v>144</x:v>
      </x:c>
      <x:c r="C241" s="2">
        <x:v>5</x:v>
      </x:c>
      <x:c r="D241" s="2" t="s">
        <x:v>305</x:v>
      </x:c>
      <x:c r="E241" s="2" t="s">
        <x:v>306</x:v>
      </x:c>
      <x:c r="F241" s="7">
        <x:v>2.8199999999999999E-2</x:v>
      </x:c>
      <x:c r="G241" s="2" t="s">
        <x:v>304</x:v>
      </x:c>
      <x:c r="H241" s="8">
        <x:v>0.3</x:v>
      </x:c>
      <x:c r="I241" s="9" t="n">
        <x:f t="shared" si="3">IFERROR(ABS(F241)/H241,"")</x:f>
        <x:v>0.094</x:v>
      </x:c>
      <x:c r="J241" s="2" t="s">
        <x:v>298</x:v>
      </x:c>
      <x:c r="K241" s="8">
        <x:v>0.99</x:v>
      </x:c>
      <x:c r="L241" s="2" t="s">
        <x:v>299</x:v>
      </x:c>
      <x:c r="M241" s="2">
        <x:v>1</x:v>
      </x:c>
      <x:c r="N241" s="2" t="s">
        <x:v>79</x:v>
      </x:c>
      <x:c r="O241" s="5">
        <x:v>63</x:v>
      </x:c>
      <x:c r="P241" s="2">
        <x:v>457</x:v>
      </x:c>
      <x:c r="Q241" s="2" t="n">
        <x:f>IF(OR(J241="positive",J241="negative"),1,0)</x:f>
        <x:v>1</x:v>
      </x:c>
    </x:row>
    <x:row r="242" ht="15">
      <x:c r="A242" s="2" t="s">
        <x:v>35</x:v>
      </x:c>
      <x:c r="B242" s="2" t="s">
        <x:v>145</x:v>
      </x:c>
      <x:c r="C242" s="2">
        <x:v>1</x:v>
      </x:c>
      <x:c r="D242" s="2" t="s">
        <x:v>295</x:v>
      </x:c>
      <x:c r="E242" s="2" t="s">
        <x:v>296</x:v>
      </x:c>
      <x:c r="F242" s="7">
        <x:v>0.42127999999999999</x:v>
      </x:c>
      <x:c r="G242" s="2" t="s">
        <x:v>297</x:v>
      </x:c>
      <x:c r="H242" s="8">
        <x:v>3.5</x:v>
      </x:c>
      <x:c r="I242" s="9" t="n">
        <x:f t="shared" si="3">IFERROR(ABS(F242)/H242,"")</x:f>
        <x:v>0.12036571428571428</x:v>
      </x:c>
      <x:c r="J242" s="2" t="s">
        <x:v>298</x:v>
      </x:c>
      <x:c r="K242" s="8">
        <x:v>0.93040999999999996</x:v>
      </x:c>
      <x:c r="L242" s="2" t="s">
        <x:v>299</x:v>
      </x:c>
      <x:c r="M242" s="2">
        <x:v>1</x:v>
      </x:c>
      <x:c r="N242" s="2" t="s">
        <x:v>79</x:v>
      </x:c>
      <x:c r="O242" s="5">
        <x:v>55.7</x:v>
      </x:c>
      <x:c r="P242" s="2">
        <x:v>416</x:v>
      </x:c>
      <x:c r="Q242" s="2" t="n">
        <x:f>IF(OR(J242="positive",J242="negative"),1,0)</x:f>
        <x:v>1</x:v>
      </x:c>
    </x:row>
    <x:row r="243" ht="15">
      <x:c r="A243" s="2" t="s">
        <x:v>35</x:v>
      </x:c>
      <x:c r="B243" s="2" t="s">
        <x:v>145</x:v>
      </x:c>
      <x:c r="C243" s="2">
        <x:v>1</x:v>
      </x:c>
      <x:c r="D243" s="2" t="s">
        <x:v>300</x:v>
      </x:c>
      <x:c r="E243" s="2" t="s">
        <x:v>301</x:v>
      </x:c>
      <x:c r="F243" s="7">
        <x:v>0.14219999999999999</x:v>
      </x:c>
      <x:c r="G243" s="2" t="s">
        <x:v>302</x:v>
      </x:c>
      <x:c r="H243" s="8">
        <x:v>0.45</x:v>
      </x:c>
      <x:c r="I243" s="9" t="n">
        <x:f t="shared" si="3">IFERROR(ABS(F243)/H243,"")</x:f>
        <x:v>0.316</x:v>
      </x:c>
      <x:c r="J243" s="2" t="s">
        <x:v>298</x:v>
      </x:c>
      <x:c r="K243" s="8">
        <x:v>0.91732999999999998</x:v>
      </x:c>
      <x:c r="L243" s="2" t="s">
        <x:v>299</x:v>
      </x:c>
      <x:c r="M243" s="2">
        <x:v>1</x:v>
      </x:c>
      <x:c r="N243" s="2" t="s">
        <x:v>79</x:v>
      </x:c>
      <x:c r="O243" s="5">
        <x:v>55.7</x:v>
      </x:c>
      <x:c r="P243" s="2">
        <x:v>416</x:v>
      </x:c>
      <x:c r="Q243" s="2" t="n">
        <x:f>IF(OR(J243="positive",J243="negative"),1,0)</x:f>
        <x:v>1</x:v>
      </x:c>
    </x:row>
    <x:row r="244" ht="15">
      <x:c r="A244" s="2" t="s">
        <x:v>35</x:v>
      </x:c>
      <x:c r="B244" s="2" t="s">
        <x:v>145</x:v>
      </x:c>
      <x:c r="C244" s="2">
        <x:v>1</x:v>
      </x:c>
      <x:c r="D244" s="2" t="s">
        <x:v>18</x:v>
      </x:c>
      <x:c r="E244" s="2" t="s">
        <x:v>303</x:v>
      </x:c>
      <x:c r="F244" s="7">
        <x:v>-4.9399999999999999E-3</x:v>
      </x:c>
      <x:c r="G244" s="2" t="s">
        <x:v>304</x:v>
      </x:c>
      <x:c r="H244" s="8">
        <x:v>7.4999999999999997E-2</x:v>
      </x:c>
      <x:c r="I244" s="9" t="n">
        <x:f t="shared" si="3">IFERROR(ABS(F244)/H244,"")</x:f>
        <x:v>0.06586666666666667</x:v>
      </x:c>
      <x:c r="J244" s="2" t="s">
        <x:v>298</x:v>
      </x:c>
      <x:c r="K244" s="8">
        <x:v>0.94674000000000003</x:v>
      </x:c>
      <x:c r="L244" s="2" t="s">
        <x:v>299</x:v>
      </x:c>
      <x:c r="M244" s="2">
        <x:v>1</x:v>
      </x:c>
      <x:c r="N244" s="2" t="s">
        <x:v>79</x:v>
      </x:c>
      <x:c r="O244" s="5">
        <x:v>55.7</x:v>
      </x:c>
      <x:c r="P244" s="2">
        <x:v>416</x:v>
      </x:c>
      <x:c r="Q244" s="2" t="n">
        <x:f>IF(OR(J244="positive",J244="negative"),1,0)</x:f>
        <x:v>1</x:v>
      </x:c>
    </x:row>
    <x:row r="245" ht="15">
      <x:c r="A245" s="2" t="s">
        <x:v>35</x:v>
      </x:c>
      <x:c r="B245" s="2" t="s">
        <x:v>145</x:v>
      </x:c>
      <x:c r="C245" s="2">
        <x:v>1</x:v>
      </x:c>
      <x:c r="D245" s="2" t="s">
        <x:v>305</x:v>
      </x:c>
      <x:c r="E245" s="2" t="s">
        <x:v>306</x:v>
      </x:c>
      <x:c r="F245" s="7">
        <x:v>-8.1700000000000002E-3</x:v>
      </x:c>
      <x:c r="G245" s="2" t="s">
        <x:v>304</x:v>
      </x:c>
      <x:c r="H245" s="8">
        <x:v>0.3</x:v>
      </x:c>
      <x:c r="I245" s="9" t="n">
        <x:f t="shared" si="3">IFERROR(ABS(F245)/H245,"")</x:f>
        <x:v>0.027233333333333335</x:v>
      </x:c>
      <x:c r="J245" s="2" t="s">
        <x:v>298</x:v>
      </x:c>
      <x:c r="K245" s="8">
        <x:v>0.92298999999999998</x:v>
      </x:c>
      <x:c r="L245" s="2" t="s">
        <x:v>299</x:v>
      </x:c>
      <x:c r="M245" s="2">
        <x:v>1</x:v>
      </x:c>
      <x:c r="N245" s="2" t="s">
        <x:v>79</x:v>
      </x:c>
      <x:c r="O245" s="5">
        <x:v>55.7</x:v>
      </x:c>
      <x:c r="P245" s="2">
        <x:v>416</x:v>
      </x:c>
      <x:c r="Q245" s="2" t="n">
        <x:f>IF(OR(J245="positive",J245="negative"),1,0)</x:f>
        <x:v>1</x:v>
      </x:c>
    </x:row>
    <x:row r="246" ht="15">
      <x:c r="A246" s="2" t="s">
        <x:v>35</x:v>
      </x:c>
      <x:c r="B246" s="2" t="s">
        <x:v>146</x:v>
      </x:c>
      <x:c r="C246" s="2">
        <x:v>2</x:v>
      </x:c>
      <x:c r="D246" s="2" t="s">
        <x:v>295</x:v>
      </x:c>
      <x:c r="E246" s="2" t="s">
        <x:v>296</x:v>
      </x:c>
      <x:c r="F246" s="7">
        <x:v>0.59408000000000005</x:v>
      </x:c>
      <x:c r="G246" s="2" t="s">
        <x:v>297</x:v>
      </x:c>
      <x:c r="H246" s="8">
        <x:v>3.5</x:v>
      </x:c>
      <x:c r="I246" s="9" t="n">
        <x:f t="shared" si="3">IFERROR(ABS(F246)/H246,"")</x:f>
        <x:v>0.16973714285714286</x:v>
      </x:c>
      <x:c r="J246" s="2" t="s">
        <x:v>298</x:v>
      </x:c>
      <x:c r="K246" s="8">
        <x:v>0.96889000000000003</x:v>
      </x:c>
      <x:c r="L246" s="2" t="s">
        <x:v>299</x:v>
      </x:c>
      <x:c r="M246" s="2">
        <x:v>1</x:v>
      </x:c>
      <x:c r="N246" s="2" t="s">
        <x:v>79</x:v>
      </x:c>
      <x:c r="O246" s="5">
        <x:v>59.8</x:v>
      </x:c>
      <x:c r="P246" s="2">
        <x:v>341</x:v>
      </x:c>
      <x:c r="Q246" s="2" t="n">
        <x:f>IF(OR(J246="positive",J246="negative"),1,0)</x:f>
        <x:v>1</x:v>
      </x:c>
    </x:row>
    <x:row r="247" ht="15">
      <x:c r="A247" s="2" t="s">
        <x:v>35</x:v>
      </x:c>
      <x:c r="B247" s="2" t="s">
        <x:v>146</x:v>
      </x:c>
      <x:c r="C247" s="2">
        <x:v>2</x:v>
      </x:c>
      <x:c r="D247" s="2" t="s">
        <x:v>300</x:v>
      </x:c>
      <x:c r="E247" s="2" t="s">
        <x:v>301</x:v>
      </x:c>
      <x:c r="F247" s="7">
        <x:v>0.11414000000000001</x:v>
      </x:c>
      <x:c r="G247" s="2" t="s">
        <x:v>302</x:v>
      </x:c>
      <x:c r="H247" s="8">
        <x:v>0.45</x:v>
      </x:c>
      <x:c r="I247" s="9" t="n">
        <x:f t="shared" si="3">IFERROR(ABS(F247)/H247,"")</x:f>
        <x:v>0.25364444444444445</x:v>
      </x:c>
      <x:c r="J247" s="2" t="s">
        <x:v>298</x:v>
      </x:c>
      <x:c r="K247" s="8">
        <x:v>0.93501000000000001</x:v>
      </x:c>
      <x:c r="L247" s="2" t="s">
        <x:v>299</x:v>
      </x:c>
      <x:c r="M247" s="2">
        <x:v>1</x:v>
      </x:c>
      <x:c r="N247" s="2" t="s">
        <x:v>79</x:v>
      </x:c>
      <x:c r="O247" s="5">
        <x:v>59.8</x:v>
      </x:c>
      <x:c r="P247" s="2">
        <x:v>341</x:v>
      </x:c>
      <x:c r="Q247" s="2" t="n">
        <x:f>IF(OR(J247="positive",J247="negative"),1,0)</x:f>
        <x:v>1</x:v>
      </x:c>
    </x:row>
    <x:row r="248" ht="15">
      <x:c r="A248" s="2" t="s">
        <x:v>35</x:v>
      </x:c>
      <x:c r="B248" s="2" t="s">
        <x:v>146</x:v>
      </x:c>
      <x:c r="C248" s="2">
        <x:v>2</x:v>
      </x:c>
      <x:c r="D248" s="2" t="s">
        <x:v>18</x:v>
      </x:c>
      <x:c r="E248" s="2" t="s">
        <x:v>303</x:v>
      </x:c>
      <x:c r="F248" s="7">
        <x:v>1.7700000000000001E-3</x:v>
      </x:c>
      <x:c r="G248" s="2" t="s">
        <x:v>304</x:v>
      </x:c>
      <x:c r="H248" s="8">
        <x:v>7.4999999999999997E-2</x:v>
      </x:c>
      <x:c r="I248" s="9" t="n">
        <x:f t="shared" si="3">IFERROR(ABS(F248)/H248,"")</x:f>
        <x:v>0.023600000000000003</x:v>
      </x:c>
      <x:c r="J248" s="2" t="s">
        <x:v>298</x:v>
      </x:c>
      <x:c r="K248" s="8">
        <x:v>0.96211999999999998</x:v>
      </x:c>
      <x:c r="L248" s="2" t="s">
        <x:v>299</x:v>
      </x:c>
      <x:c r="M248" s="2">
        <x:v>1</x:v>
      </x:c>
      <x:c r="N248" s="2" t="s">
        <x:v>79</x:v>
      </x:c>
      <x:c r="O248" s="5">
        <x:v>59.8</x:v>
      </x:c>
      <x:c r="P248" s="2">
        <x:v>341</x:v>
      </x:c>
      <x:c r="Q248" s="2" t="n">
        <x:f>IF(OR(J248="positive",J248="negative"),1,0)</x:f>
        <x:v>1</x:v>
      </x:c>
    </x:row>
    <x:row r="249" ht="15">
      <x:c r="A249" s="2" t="s">
        <x:v>35</x:v>
      </x:c>
      <x:c r="B249" s="2" t="s">
        <x:v>146</x:v>
      </x:c>
      <x:c r="C249" s="2">
        <x:v>2</x:v>
      </x:c>
      <x:c r="D249" s="2" t="s">
        <x:v>305</x:v>
      </x:c>
      <x:c r="E249" s="2" t="s">
        <x:v>306</x:v>
      </x:c>
      <x:c r="F249" s="7">
        <x:v>-2.5749999999999999E-2</x:v>
      </x:c>
      <x:c r="G249" s="2" t="s">
        <x:v>304</x:v>
      </x:c>
      <x:c r="H249" s="8">
        <x:v>0.3</x:v>
      </x:c>
      <x:c r="I249" s="9" t="n">
        <x:f t="shared" si="3">IFERROR(ABS(F249)/H249,"")</x:f>
        <x:v>0.08583333333333333</x:v>
      </x:c>
      <x:c r="J249" s="2" t="s">
        <x:v>298</x:v>
      </x:c>
      <x:c r="K249" s="8">
        <x:v>0.95484999999999998</x:v>
      </x:c>
      <x:c r="L249" s="2" t="s">
        <x:v>299</x:v>
      </x:c>
      <x:c r="M249" s="2">
        <x:v>1</x:v>
      </x:c>
      <x:c r="N249" s="2" t="s">
        <x:v>79</x:v>
      </x:c>
      <x:c r="O249" s="5">
        <x:v>59.8</x:v>
      </x:c>
      <x:c r="P249" s="2">
        <x:v>341</x:v>
      </x:c>
      <x:c r="Q249" s="2" t="n">
        <x:f>IF(OR(J249="positive",J249="negative"),1,0)</x:f>
        <x:v>1</x:v>
      </x:c>
    </x:row>
    <x:row r="250" ht="15">
      <x:c r="A250" s="2" t="s">
        <x:v>35</x:v>
      </x:c>
      <x:c r="B250" s="2" t="s">
        <x:v>147</x:v>
      </x:c>
      <x:c r="C250" s="2">
        <x:v>3</x:v>
      </x:c>
      <x:c r="D250" s="2" t="s">
        <x:v>295</x:v>
      </x:c>
      <x:c r="E250" s="2" t="s">
        <x:v>296</x:v>
      </x:c>
      <x:c r="F250" s="7">
        <x:v>0.41791</x:v>
      </x:c>
      <x:c r="G250" s="2" t="s">
        <x:v>297</x:v>
      </x:c>
      <x:c r="H250" s="8">
        <x:v>3.5</x:v>
      </x:c>
      <x:c r="I250" s="9" t="n">
        <x:f t="shared" si="3">IFERROR(ABS(F250)/H250,"")</x:f>
        <x:v>0.11940285714285714</x:v>
      </x:c>
      <x:c r="J250" s="2" t="s">
        <x:v>298</x:v>
      </x:c>
      <x:c r="K250" s="8">
        <x:v>0.93625000000000003</x:v>
      </x:c>
      <x:c r="L250" s="2" t="s">
        <x:v>299</x:v>
      </x:c>
      <x:c r="M250" s="2">
        <x:v>1</x:v>
      </x:c>
      <x:c r="N250" s="2" t="s">
        <x:v>79</x:v>
      </x:c>
      <x:c r="O250" s="5">
        <x:v>64.5</x:v>
      </x:c>
      <x:c r="P250" s="2">
        <x:v>300</x:v>
      </x:c>
      <x:c r="Q250" s="2" t="n">
        <x:f>IF(OR(J250="positive",J250="negative"),1,0)</x:f>
        <x:v>1</x:v>
      </x:c>
    </x:row>
    <x:row r="251" ht="15">
      <x:c r="A251" s="2" t="s">
        <x:v>35</x:v>
      </x:c>
      <x:c r="B251" s="2" t="s">
        <x:v>147</x:v>
      </x:c>
      <x:c r="C251" s="2">
        <x:v>3</x:v>
      </x:c>
      <x:c r="D251" s="2" t="s">
        <x:v>300</x:v>
      </x:c>
      <x:c r="E251" s="2" t="s">
        <x:v>301</x:v>
      </x:c>
      <x:c r="F251" s="7">
        <x:v>0.12686</x:v>
      </x:c>
      <x:c r="G251" s="2" t="s">
        <x:v>302</x:v>
      </x:c>
      <x:c r="H251" s="8">
        <x:v>0.45</x:v>
      </x:c>
      <x:c r="I251" s="9" t="n">
        <x:f t="shared" si="3">IFERROR(ABS(F251)/H251,"")</x:f>
        <x:v>0.2819111111111111</x:v>
      </x:c>
      <x:c r="J251" s="2" t="s">
        <x:v>298</x:v>
      </x:c>
      <x:c r="K251" s="8">
        <x:v>0.90251999999999999</x:v>
      </x:c>
      <x:c r="L251" s="2" t="s">
        <x:v>299</x:v>
      </x:c>
      <x:c r="M251" s="2">
        <x:v>1</x:v>
      </x:c>
      <x:c r="N251" s="2" t="s">
        <x:v>79</x:v>
      </x:c>
      <x:c r="O251" s="5">
        <x:v>64.5</x:v>
      </x:c>
      <x:c r="P251" s="2">
        <x:v>300</x:v>
      </x:c>
      <x:c r="Q251" s="2" t="n">
        <x:f>IF(OR(J251="positive",J251="negative"),1,0)</x:f>
        <x:v>1</x:v>
      </x:c>
    </x:row>
    <x:row r="252" ht="15">
      <x:c r="A252" s="2" t="s">
        <x:v>35</x:v>
      </x:c>
      <x:c r="B252" s="2" t="s">
        <x:v>147</x:v>
      </x:c>
      <x:c r="C252" s="2">
        <x:v>3</x:v>
      </x:c>
      <x:c r="D252" s="2" t="s">
        <x:v>18</x:v>
      </x:c>
      <x:c r="E252" s="2" t="s">
        <x:v>303</x:v>
      </x:c>
      <x:c r="F252" s="7">
        <x:v>8.0599999999999995E-3</x:v>
      </x:c>
      <x:c r="G252" s="2" t="s">
        <x:v>304</x:v>
      </x:c>
      <x:c r="H252" s="8">
        <x:v>7.4999999999999997E-2</x:v>
      </x:c>
      <x:c r="I252" s="9" t="n">
        <x:f t="shared" si="3">IFERROR(ABS(F252)/H252,"")</x:f>
        <x:v>0.10746666666666667</x:v>
      </x:c>
      <x:c r="J252" s="2" t="s">
        <x:v>298</x:v>
      </x:c>
      <x:c r="K252" s="8">
        <x:v>0.93928</x:v>
      </x:c>
      <x:c r="L252" s="2" t="s">
        <x:v>299</x:v>
      </x:c>
      <x:c r="M252" s="2">
        <x:v>1</x:v>
      </x:c>
      <x:c r="N252" s="2" t="s">
        <x:v>79</x:v>
      </x:c>
      <x:c r="O252" s="5">
        <x:v>64.5</x:v>
      </x:c>
      <x:c r="P252" s="2">
        <x:v>300</x:v>
      </x:c>
      <x:c r="Q252" s="2" t="n">
        <x:f>IF(OR(J252="positive",J252="negative"),1,0)</x:f>
        <x:v>1</x:v>
      </x:c>
    </x:row>
    <x:row r="253" ht="15">
      <x:c r="A253" s="2" t="s">
        <x:v>35</x:v>
      </x:c>
      <x:c r="B253" s="2" t="s">
        <x:v>147</x:v>
      </x:c>
      <x:c r="C253" s="2">
        <x:v>3</x:v>
      </x:c>
      <x:c r="D253" s="2" t="s">
        <x:v>305</x:v>
      </x:c>
      <x:c r="E253" s="2" t="s">
        <x:v>306</x:v>
      </x:c>
      <x:c r="F253" s="7">
        <x:v>-1.5219999999999999E-2</x:v>
      </x:c>
      <x:c r="G253" s="2" t="s">
        <x:v>304</x:v>
      </x:c>
      <x:c r="H253" s="8">
        <x:v>0.3</x:v>
      </x:c>
      <x:c r="I253" s="9" t="n">
        <x:f t="shared" si="3">IFERROR(ABS(F253)/H253,"")</x:f>
        <x:v>0.05073333333333333</x:v>
      </x:c>
      <x:c r="J253" s="2" t="s">
        <x:v>298</x:v>
      </x:c>
      <x:c r="K253" s="8">
        <x:v>0.94462000000000002</x:v>
      </x:c>
      <x:c r="L253" s="2" t="s">
        <x:v>299</x:v>
      </x:c>
      <x:c r="M253" s="2">
        <x:v>1</x:v>
      </x:c>
      <x:c r="N253" s="2" t="s">
        <x:v>79</x:v>
      </x:c>
      <x:c r="O253" s="5">
        <x:v>64.5</x:v>
      </x:c>
      <x:c r="P253" s="2">
        <x:v>300</x:v>
      </x:c>
      <x:c r="Q253" s="2" t="n">
        <x:f>IF(OR(J253="positive",J253="negative"),1,0)</x:f>
        <x:v>1</x:v>
      </x:c>
    </x:row>
    <x:row r="254" ht="15">
      <x:c r="A254" s="2" t="s">
        <x:v>35</x:v>
      </x:c>
      <x:c r="B254" s="2" t="s">
        <x:v>148</x:v>
      </x:c>
      <x:c r="C254" s="2">
        <x:v>4</x:v>
      </x:c>
      <x:c r="D254" s="2" t="s">
        <x:v>295</x:v>
      </x:c>
      <x:c r="E254" s="2" t="s">
        <x:v>296</x:v>
      </x:c>
      <x:c r="F254" s="7">
        <x:v>0.51981999999999995</x:v>
      </x:c>
      <x:c r="G254" s="2" t="s">
        <x:v>297</x:v>
      </x:c>
      <x:c r="H254" s="8">
        <x:v>3.5</x:v>
      </x:c>
      <x:c r="I254" s="9" t="n">
        <x:f t="shared" si="3">IFERROR(ABS(F254)/H254,"")</x:f>
        <x:v>0.14851999999999999</x:v>
      </x:c>
      <x:c r="J254" s="2" t="s">
        <x:v>307</x:v>
      </x:c>
      <x:c r="K254" s="8">
        <x:v>0.50771999999999995</x:v>
      </x:c>
      <x:c r="L254" s="2" t="s">
        <x:v>309</x:v>
      </x:c>
      <x:c r="M254" s="2">
        <x:v>1</x:v>
      </x:c>
      <x:c r="N254" s="2" t="s">
        <x:v>79</x:v>
      </x:c>
      <x:c r="O254" s="5">
        <x:v>69</x:v>
      </x:c>
      <x:c r="P254" s="2">
        <x:v>365</x:v>
      </x:c>
      <x:c r="Q254" s="2" t="n">
        <x:f>IF(OR(J254="positive",J254="negative"),1,0)</x:f>
        <x:v>0</x:v>
      </x:c>
    </x:row>
    <x:row r="255" ht="15">
      <x:c r="A255" s="2" t="s">
        <x:v>35</x:v>
      </x:c>
      <x:c r="B255" s="2" t="s">
        <x:v>148</x:v>
      </x:c>
      <x:c r="C255" s="2">
        <x:v>4</x:v>
      </x:c>
      <x:c r="D255" s="2" t="s">
        <x:v>300</x:v>
      </x:c>
      <x:c r="E255" s="2" t="s">
        <x:v>301</x:v>
      </x:c>
      <x:c r="F255" s="7">
        <x:v>0.12128</x:v>
      </x:c>
      <x:c r="G255" s="2" t="s">
        <x:v>302</x:v>
      </x:c>
      <x:c r="H255" s="8">
        <x:v>0.45</x:v>
      </x:c>
      <x:c r="I255" s="9" t="n">
        <x:f t="shared" si="3">IFERROR(ABS(F255)/H255,"")</x:f>
        <x:v>0.2695111111111111</x:v>
      </x:c>
      <x:c r="J255" s="2" t="s">
        <x:v>298</x:v>
      </x:c>
      <x:c r="K255" s="8">
        <x:v>0.94447000000000003</x:v>
      </x:c>
      <x:c r="L255" s="2" t="s">
        <x:v>299</x:v>
      </x:c>
      <x:c r="M255" s="2">
        <x:v>1</x:v>
      </x:c>
      <x:c r="N255" s="2" t="s">
        <x:v>79</x:v>
      </x:c>
      <x:c r="O255" s="5">
        <x:v>69</x:v>
      </x:c>
      <x:c r="P255" s="2">
        <x:v>365</x:v>
      </x:c>
      <x:c r="Q255" s="2" t="n">
        <x:f>IF(OR(J255="positive",J255="negative"),1,0)</x:f>
        <x:v>1</x:v>
      </x:c>
    </x:row>
    <x:row r="256" ht="15">
      <x:c r="A256" s="2" t="s">
        <x:v>35</x:v>
      </x:c>
      <x:c r="B256" s="2" t="s">
        <x:v>148</x:v>
      </x:c>
      <x:c r="C256" s="2">
        <x:v>4</x:v>
      </x:c>
      <x:c r="D256" s="2" t="s">
        <x:v>18</x:v>
      </x:c>
      <x:c r="E256" s="2" t="s">
        <x:v>303</x:v>
      </x:c>
      <x:c r="F256" s="7">
        <x:v>8.5999999999999998E-4</x:v>
      </x:c>
      <x:c r="G256" s="2" t="s">
        <x:v>304</x:v>
      </x:c>
      <x:c r="H256" s="8">
        <x:v>7.4999999999999997E-2</x:v>
      </x:c>
      <x:c r="I256" s="9" t="n">
        <x:f t="shared" si="3">IFERROR(ABS(F256)/H256,"")</x:f>
        <x:v>0.011466666666666667</x:v>
      </x:c>
      <x:c r="J256" s="2" t="s">
        <x:v>298</x:v>
      </x:c>
      <x:c r="K256" s="8">
        <x:v>0.92705000000000004</x:v>
      </x:c>
      <x:c r="L256" s="2" t="s">
        <x:v>299</x:v>
      </x:c>
      <x:c r="M256" s="2">
        <x:v>1</x:v>
      </x:c>
      <x:c r="N256" s="2" t="s">
        <x:v>79</x:v>
      </x:c>
      <x:c r="O256" s="5">
        <x:v>69</x:v>
      </x:c>
      <x:c r="P256" s="2">
        <x:v>365</x:v>
      </x:c>
      <x:c r="Q256" s="2" t="n">
        <x:f>IF(OR(J256="positive",J256="negative"),1,0)</x:f>
        <x:v>1</x:v>
      </x:c>
    </x:row>
    <x:row r="257" ht="15">
      <x:c r="A257" s="2" t="s">
        <x:v>35</x:v>
      </x:c>
      <x:c r="B257" s="2" t="s">
        <x:v>148</x:v>
      </x:c>
      <x:c r="C257" s="2">
        <x:v>4</x:v>
      </x:c>
      <x:c r="D257" s="2" t="s">
        <x:v>305</x:v>
      </x:c>
      <x:c r="E257" s="2" t="s">
        <x:v>306</x:v>
      </x:c>
      <x:c r="F257" s="7">
        <x:v>1.213E-2</x:v>
      </x:c>
      <x:c r="G257" s="2" t="s">
        <x:v>304</x:v>
      </x:c>
      <x:c r="H257" s="8">
        <x:v>0.3</x:v>
      </x:c>
      <x:c r="I257" s="9" t="n">
        <x:f t="shared" si="3">IFERROR(ABS(F257)/H257,"")</x:f>
        <x:v>0.040433333333333335</x:v>
      </x:c>
      <x:c r="J257" s="2" t="s">
        <x:v>298</x:v>
      </x:c>
      <x:c r="K257" s="8">
        <x:v>0.95172999999999996</x:v>
      </x:c>
      <x:c r="L257" s="2" t="s">
        <x:v>299</x:v>
      </x:c>
      <x:c r="M257" s="2">
        <x:v>1</x:v>
      </x:c>
      <x:c r="N257" s="2" t="s">
        <x:v>79</x:v>
      </x:c>
      <x:c r="O257" s="5">
        <x:v>69</x:v>
      </x:c>
      <x:c r="P257" s="2">
        <x:v>365</x:v>
      </x:c>
      <x:c r="Q257" s="2" t="n">
        <x:f>IF(OR(J257="positive",J257="negative"),1,0)</x:f>
        <x:v>1</x:v>
      </x:c>
    </x:row>
    <x:row r="258" ht="15">
      <x:c r="A258" s="2" t="s">
        <x:v>35</x:v>
      </x:c>
      <x:c r="B258" s="2" t="s">
        <x:v>149</x:v>
      </x:c>
      <x:c r="C258" s="2">
        <x:v>5</x:v>
      </x:c>
      <x:c r="D258" s="2" t="s">
        <x:v>295</x:v>
      </x:c>
      <x:c r="E258" s="2" t="s">
        <x:v>296</x:v>
      </x:c>
      <x:c r="F258" s="7">
        <x:v>0.37430000000000002</x:v>
      </x:c>
      <x:c r="G258" s="2" t="s">
        <x:v>297</x:v>
      </x:c>
      <x:c r="H258" s="8">
        <x:v>3.5</x:v>
      </x:c>
      <x:c r="I258" s="9" t="n">
        <x:f t="shared" ref="I258:I321" si="4">IFERROR(ABS(F258)/H258,"")</x:f>
        <x:v>0.10694285714285715</x:v>
      </x:c>
      <x:c r="J258" s="2" t="s">
        <x:v>298</x:v>
      </x:c>
      <x:c r="K258" s="8">
        <x:v>0.92923999999999995</x:v>
      </x:c>
      <x:c r="L258" s="2" t="s">
        <x:v>299</x:v>
      </x:c>
      <x:c r="M258" s="2">
        <x:v>1</x:v>
      </x:c>
      <x:c r="N258" s="2" t="s">
        <x:v>79</x:v>
      </x:c>
      <x:c r="O258" s="5">
        <x:v>64.5</x:v>
      </x:c>
      <x:c r="P258" s="2">
        <x:v>532</x:v>
      </x:c>
      <x:c r="Q258" s="2" t="n">
        <x:f>IF(OR(J258="positive",J258="negative"),1,0)</x:f>
        <x:v>1</x:v>
      </x:c>
    </x:row>
    <x:row r="259" ht="15">
      <x:c r="A259" s="2" t="s">
        <x:v>35</x:v>
      </x:c>
      <x:c r="B259" s="2" t="s">
        <x:v>149</x:v>
      </x:c>
      <x:c r="C259" s="2">
        <x:v>5</x:v>
      </x:c>
      <x:c r="D259" s="2" t="s">
        <x:v>300</x:v>
      </x:c>
      <x:c r="E259" s="2" t="s">
        <x:v>301</x:v>
      </x:c>
      <x:c r="F259" s="7">
        <x:v>0.14635000000000001</x:v>
      </x:c>
      <x:c r="G259" s="2" t="s">
        <x:v>302</x:v>
      </x:c>
      <x:c r="H259" s="8">
        <x:v>0.45</x:v>
      </x:c>
      <x:c r="I259" s="9" t="n">
        <x:f t="shared" si="4">IFERROR(ABS(F259)/H259,"")</x:f>
        <x:v>0.32522222222222225</x:v>
      </x:c>
      <x:c r="J259" s="2" t="s">
        <x:v>298</x:v>
      </x:c>
      <x:c r="K259" s="8">
        <x:v>0.92398000000000002</x:v>
      </x:c>
      <x:c r="L259" s="2" t="s">
        <x:v>299</x:v>
      </x:c>
      <x:c r="M259" s="2">
        <x:v>1</x:v>
      </x:c>
      <x:c r="N259" s="2" t="s">
        <x:v>79</x:v>
      </x:c>
      <x:c r="O259" s="5">
        <x:v>64.5</x:v>
      </x:c>
      <x:c r="P259" s="2">
        <x:v>532</x:v>
      </x:c>
      <x:c r="Q259" s="2" t="n">
        <x:f>IF(OR(J259="positive",J259="negative"),1,0)</x:f>
        <x:v>1</x:v>
      </x:c>
    </x:row>
    <x:row r="260" ht="15">
      <x:c r="A260" s="2" t="s">
        <x:v>35</x:v>
      </x:c>
      <x:c r="B260" s="2" t="s">
        <x:v>149</x:v>
      </x:c>
      <x:c r="C260" s="2">
        <x:v>5</x:v>
      </x:c>
      <x:c r="D260" s="2" t="s">
        <x:v>18</x:v>
      </x:c>
      <x:c r="E260" s="2" t="s">
        <x:v>303</x:v>
      </x:c>
      <x:c r="F260" s="7">
        <x:v>7.7999999999999999E-4</x:v>
      </x:c>
      <x:c r="G260" s="2" t="s">
        <x:v>304</x:v>
      </x:c>
      <x:c r="H260" s="8">
        <x:v>7.4999999999999997E-2</x:v>
      </x:c>
      <x:c r="I260" s="9" t="n">
        <x:f t="shared" si="4">IFERROR(ABS(F260)/H260,"")</x:f>
        <x:v>0.0104</x:v>
      </x:c>
      <x:c r="J260" s="2" t="s">
        <x:v>298</x:v>
      </x:c>
      <x:c r="K260" s="8">
        <x:v>0.92956000000000005</x:v>
      </x:c>
      <x:c r="L260" s="2" t="s">
        <x:v>299</x:v>
      </x:c>
      <x:c r="M260" s="2">
        <x:v>1</x:v>
      </x:c>
      <x:c r="N260" s="2" t="s">
        <x:v>79</x:v>
      </x:c>
      <x:c r="O260" s="5">
        <x:v>64.5</x:v>
      </x:c>
      <x:c r="P260" s="2">
        <x:v>532</x:v>
      </x:c>
      <x:c r="Q260" s="2" t="n">
        <x:f>IF(OR(J260="positive",J260="negative"),1,0)</x:f>
        <x:v>1</x:v>
      </x:c>
    </x:row>
    <x:row r="261" ht="15">
      <x:c r="A261" s="2" t="s">
        <x:v>35</x:v>
      </x:c>
      <x:c r="B261" s="2" t="s">
        <x:v>149</x:v>
      </x:c>
      <x:c r="C261" s="2">
        <x:v>5</x:v>
      </x:c>
      <x:c r="D261" s="2" t="s">
        <x:v>305</x:v>
      </x:c>
      <x:c r="E261" s="2" t="s">
        <x:v>306</x:v>
      </x:c>
      <x:c r="F261" s="7">
        <x:v>-9.7800000000000005E-3</x:v>
      </x:c>
      <x:c r="G261" s="2" t="s">
        <x:v>304</x:v>
      </x:c>
      <x:c r="H261" s="8">
        <x:v>0.3</x:v>
      </x:c>
      <x:c r="I261" s="9" t="n">
        <x:f t="shared" si="4">IFERROR(ABS(F261)/H261,"")</x:f>
        <x:v>0.032600000000000004</x:v>
      </x:c>
      <x:c r="J261" s="2" t="s">
        <x:v>298</x:v>
      </x:c>
      <x:c r="K261" s="8">
        <x:v>0.95326</x:v>
      </x:c>
      <x:c r="L261" s="2" t="s">
        <x:v>299</x:v>
      </x:c>
      <x:c r="M261" s="2">
        <x:v>1</x:v>
      </x:c>
      <x:c r="N261" s="2" t="s">
        <x:v>79</x:v>
      </x:c>
      <x:c r="O261" s="5">
        <x:v>64.5</x:v>
      </x:c>
      <x:c r="P261" s="2">
        <x:v>532</x:v>
      </x:c>
      <x:c r="Q261" s="2" t="n">
        <x:f>IF(OR(J261="positive",J261="negative"),1,0)</x:f>
        <x:v>1</x:v>
      </x:c>
    </x:row>
    <x:row r="262" ht="15">
      <x:c r="A262" s="2" t="s">
        <x:v>36</x:v>
      </x:c>
      <x:c r="B262" s="2" t="s">
        <x:v>150</x:v>
      </x:c>
      <x:c r="C262" s="2">
        <x:v>1</x:v>
      </x:c>
      <x:c r="D262" s="2" t="s">
        <x:v>295</x:v>
      </x:c>
      <x:c r="E262" s="2" t="s">
        <x:v>296</x:v>
      </x:c>
      <x:c r="F262" s="7">
        <x:v>0.41654999999999998</x:v>
      </x:c>
      <x:c r="G262" s="2" t="s">
        <x:v>297</x:v>
      </x:c>
      <x:c r="H262" s="8">
        <x:v>3.5</x:v>
      </x:c>
      <x:c r="I262" s="9" t="n">
        <x:f t="shared" si="4">IFERROR(ABS(F262)/H262,"")</x:f>
        <x:v>0.11901428571428571</x:v>
      </x:c>
      <x:c r="J262" s="2" t="s">
        <x:v>298</x:v>
      </x:c>
      <x:c r="K262" s="8">
        <x:v>0.93594999999999995</x:v>
      </x:c>
      <x:c r="L262" s="2" t="s">
        <x:v>299</x:v>
      </x:c>
      <x:c r="M262" s="2">
        <x:v>1</x:v>
      </x:c>
      <x:c r="N262" s="2" t="s">
        <x:v>79</x:v>
      </x:c>
      <x:c r="O262" s="5">
        <x:v>63</x:v>
      </x:c>
      <x:c r="P262" s="2">
        <x:v>427</x:v>
      </x:c>
      <x:c r="Q262" s="2" t="n">
        <x:f>IF(OR(J262="positive",J262="negative"),1,0)</x:f>
        <x:v>1</x:v>
      </x:c>
    </x:row>
    <x:row r="263" ht="15">
      <x:c r="A263" s="2" t="s">
        <x:v>36</x:v>
      </x:c>
      <x:c r="B263" s="2" t="s">
        <x:v>150</x:v>
      </x:c>
      <x:c r="C263" s="2">
        <x:v>1</x:v>
      </x:c>
      <x:c r="D263" s="2" t="s">
        <x:v>300</x:v>
      </x:c>
      <x:c r="E263" s="2" t="s">
        <x:v>301</x:v>
      </x:c>
      <x:c r="F263" s="7">
        <x:v>6.0400000000000002E-2</x:v>
      </x:c>
      <x:c r="G263" s="2" t="s">
        <x:v>302</x:v>
      </x:c>
      <x:c r="H263" s="8">
        <x:v>0.45</x:v>
      </x:c>
      <x:c r="I263" s="9" t="n">
        <x:f t="shared" si="4">IFERROR(ABS(F263)/H263,"")</x:f>
        <x:v>0.13422222222222221</x:v>
      </x:c>
      <x:c r="J263" s="2" t="s">
        <x:v>298</x:v>
      </x:c>
      <x:c r="K263" s="8">
        <x:v>0.95726</x:v>
      </x:c>
      <x:c r="L263" s="2" t="s">
        <x:v>299</x:v>
      </x:c>
      <x:c r="M263" s="2">
        <x:v>1</x:v>
      </x:c>
      <x:c r="N263" s="2" t="s">
        <x:v>79</x:v>
      </x:c>
      <x:c r="O263" s="5">
        <x:v>63</x:v>
      </x:c>
      <x:c r="P263" s="2">
        <x:v>427</x:v>
      </x:c>
      <x:c r="Q263" s="2" t="n">
        <x:f>IF(OR(J263="positive",J263="negative"),1,0)</x:f>
        <x:v>1</x:v>
      </x:c>
    </x:row>
    <x:row r="264" ht="15">
      <x:c r="A264" s="2" t="s">
        <x:v>36</x:v>
      </x:c>
      <x:c r="B264" s="2" t="s">
        <x:v>150</x:v>
      </x:c>
      <x:c r="C264" s="2">
        <x:v>1</x:v>
      </x:c>
      <x:c r="D264" s="2" t="s">
        <x:v>18</x:v>
      </x:c>
      <x:c r="E264" s="2" t="s">
        <x:v>303</x:v>
      </x:c>
      <x:c r="F264" s="7">
        <x:v>-6.8199999999999997E-3</x:v>
      </x:c>
      <x:c r="G264" s="2" t="s">
        <x:v>304</x:v>
      </x:c>
      <x:c r="H264" s="8">
        <x:v>7.4999999999999997E-2</x:v>
      </x:c>
      <x:c r="I264" s="9" t="n">
        <x:f t="shared" si="4">IFERROR(ABS(F264)/H264,"")</x:f>
        <x:v>0.09093333333333334</x:v>
      </x:c>
      <x:c r="J264" s="2" t="s">
        <x:v>298</x:v>
      </x:c>
      <x:c r="K264" s="8">
        <x:v>0.94337000000000004</x:v>
      </x:c>
      <x:c r="L264" s="2" t="s">
        <x:v>299</x:v>
      </x:c>
      <x:c r="M264" s="2">
        <x:v>1</x:v>
      </x:c>
      <x:c r="N264" s="2" t="s">
        <x:v>79</x:v>
      </x:c>
      <x:c r="O264" s="5">
        <x:v>63</x:v>
      </x:c>
      <x:c r="P264" s="2">
        <x:v>427</x:v>
      </x:c>
      <x:c r="Q264" s="2" t="n">
        <x:f>IF(OR(J264="positive",J264="negative"),1,0)</x:f>
        <x:v>1</x:v>
      </x:c>
    </x:row>
    <x:row r="265" ht="15">
      <x:c r="A265" s="2" t="s">
        <x:v>36</x:v>
      </x:c>
      <x:c r="B265" s="2" t="s">
        <x:v>150</x:v>
      </x:c>
      <x:c r="C265" s="2">
        <x:v>1</x:v>
      </x:c>
      <x:c r="D265" s="2" t="s">
        <x:v>305</x:v>
      </x:c>
      <x:c r="E265" s="2" t="s">
        <x:v>306</x:v>
      </x:c>
      <x:c r="F265" s="7">
        <x:v>-6.62E-3</x:v>
      </x:c>
      <x:c r="G265" s="2" t="s">
        <x:v>304</x:v>
      </x:c>
      <x:c r="H265" s="8">
        <x:v>0.3</x:v>
      </x:c>
      <x:c r="I265" s="9" t="n">
        <x:f t="shared" si="4">IFERROR(ABS(F265)/H265,"")</x:f>
        <x:v>0.02206666666666667</x:v>
      </x:c>
      <x:c r="J265" s="2" t="s">
        <x:v>298</x:v>
      </x:c>
      <x:c r="K265" s="8">
        <x:v>0.94038999999999995</x:v>
      </x:c>
      <x:c r="L265" s="2" t="s">
        <x:v>299</x:v>
      </x:c>
      <x:c r="M265" s="2">
        <x:v>1</x:v>
      </x:c>
      <x:c r="N265" s="2" t="s">
        <x:v>79</x:v>
      </x:c>
      <x:c r="O265" s="5">
        <x:v>63</x:v>
      </x:c>
      <x:c r="P265" s="2">
        <x:v>427</x:v>
      </x:c>
      <x:c r="Q265" s="2" t="n">
        <x:f>IF(OR(J265="positive",J265="negative"),1,0)</x:f>
        <x:v>1</x:v>
      </x:c>
    </x:row>
    <x:row r="266" ht="15">
      <x:c r="A266" s="2" t="s">
        <x:v>36</x:v>
      </x:c>
      <x:c r="B266" s="2" t="s">
        <x:v>151</x:v>
      </x:c>
      <x:c r="C266" s="2">
        <x:v>2</x:v>
      </x:c>
      <x:c r="D266" s="2" t="s">
        <x:v>295</x:v>
      </x:c>
      <x:c r="E266" s="2" t="s">
        <x:v>296</x:v>
      </x:c>
      <x:c r="F266" s="7">
        <x:v>0.34866000000000003</x:v>
      </x:c>
      <x:c r="G266" s="2" t="s">
        <x:v>297</x:v>
      </x:c>
      <x:c r="H266" s="8">
        <x:v>3.5</x:v>
      </x:c>
      <x:c r="I266" s="9" t="n">
        <x:f t="shared" si="4">IFERROR(ABS(F266)/H266,"")</x:f>
        <x:v>0.09961714285714286</x:v>
      </x:c>
      <x:c r="J266" s="2" t="s">
        <x:v>298</x:v>
      </x:c>
      <x:c r="K266" s="8">
        <x:v>0.96611999999999998</x:v>
      </x:c>
      <x:c r="L266" s="2" t="s">
        <x:v>299</x:v>
      </x:c>
      <x:c r="M266" s="2">
        <x:v>1</x:v>
      </x:c>
      <x:c r="N266" s="2" t="s">
        <x:v>79</x:v>
      </x:c>
      <x:c r="O266" s="5">
        <x:v>65.7</x:v>
      </x:c>
      <x:c r="P266" s="2">
        <x:v>290</x:v>
      </x:c>
      <x:c r="Q266" s="2" t="n">
        <x:f>IF(OR(J266="positive",J266="negative"),1,0)</x:f>
        <x:v>1</x:v>
      </x:c>
    </x:row>
    <x:row r="267" ht="15">
      <x:c r="A267" s="2" t="s">
        <x:v>36</x:v>
      </x:c>
      <x:c r="B267" s="2" t="s">
        <x:v>151</x:v>
      </x:c>
      <x:c r="C267" s="2">
        <x:v>2</x:v>
      </x:c>
      <x:c r="D267" s="2" t="s">
        <x:v>300</x:v>
      </x:c>
      <x:c r="E267" s="2" t="s">
        <x:v>301</x:v>
      </x:c>
      <x:c r="F267" s="7">
        <x:v>9.9909999999999999E-2</x:v>
      </x:c>
      <x:c r="G267" s="2" t="s">
        <x:v>302</x:v>
      </x:c>
      <x:c r="H267" s="8">
        <x:v>0.45</x:v>
      </x:c>
      <x:c r="I267" s="9" t="n">
        <x:f t="shared" si="4">IFERROR(ABS(F267)/H267,"")</x:f>
        <x:v>0.2220222222222222</x:v>
      </x:c>
      <x:c r="J267" s="2" t="s">
        <x:v>298</x:v>
      </x:c>
      <x:c r="K267" s="8">
        <x:v>0.94959000000000005</x:v>
      </x:c>
      <x:c r="L267" s="2" t="s">
        <x:v>299</x:v>
      </x:c>
      <x:c r="M267" s="2">
        <x:v>1</x:v>
      </x:c>
      <x:c r="N267" s="2" t="s">
        <x:v>79</x:v>
      </x:c>
      <x:c r="O267" s="5">
        <x:v>65.7</x:v>
      </x:c>
      <x:c r="P267" s="2">
        <x:v>290</x:v>
      </x:c>
      <x:c r="Q267" s="2" t="n">
        <x:f>IF(OR(J267="positive",J267="negative"),1,0)</x:f>
        <x:v>1</x:v>
      </x:c>
    </x:row>
    <x:row r="268" ht="15">
      <x:c r="A268" s="2" t="s">
        <x:v>36</x:v>
      </x:c>
      <x:c r="B268" s="2" t="s">
        <x:v>151</x:v>
      </x:c>
      <x:c r="C268" s="2">
        <x:v>2</x:v>
      </x:c>
      <x:c r="D268" s="2" t="s">
        <x:v>18</x:v>
      </x:c>
      <x:c r="E268" s="2" t="s">
        <x:v>303</x:v>
      </x:c>
      <x:c r="F268" s="7">
        <x:v>-5.3400000000000001E-3</x:v>
      </x:c>
      <x:c r="G268" s="2" t="s">
        <x:v>304</x:v>
      </x:c>
      <x:c r="H268" s="8">
        <x:v>7.4999999999999997E-2</x:v>
      </x:c>
      <x:c r="I268" s="9" t="n">
        <x:f t="shared" si="4">IFERROR(ABS(F268)/H268,"")</x:f>
        <x:v>0.0712</x:v>
      </x:c>
      <x:c r="J268" s="2" t="s">
        <x:v>298</x:v>
      </x:c>
      <x:c r="K268" s="8">
        <x:v>0.95196999999999998</x:v>
      </x:c>
      <x:c r="L268" s="2" t="s">
        <x:v>299</x:v>
      </x:c>
      <x:c r="M268" s="2">
        <x:v>1</x:v>
      </x:c>
      <x:c r="N268" s="2" t="s">
        <x:v>79</x:v>
      </x:c>
      <x:c r="O268" s="5">
        <x:v>65.7</x:v>
      </x:c>
      <x:c r="P268" s="2">
        <x:v>290</x:v>
      </x:c>
      <x:c r="Q268" s="2" t="n">
        <x:f>IF(OR(J268="positive",J268="negative"),1,0)</x:f>
        <x:v>1</x:v>
      </x:c>
    </x:row>
    <x:row r="269" ht="15">
      <x:c r="A269" s="2" t="s">
        <x:v>36</x:v>
      </x:c>
      <x:c r="B269" s="2" t="s">
        <x:v>151</x:v>
      </x:c>
      <x:c r="C269" s="2">
        <x:v>2</x:v>
      </x:c>
      <x:c r="D269" s="2" t="s">
        <x:v>305</x:v>
      </x:c>
      <x:c r="E269" s="2" t="s">
        <x:v>306</x:v>
      </x:c>
      <x:c r="F269" s="7">
        <x:v>-8.3000000000000001E-3</x:v>
      </x:c>
      <x:c r="G269" s="2" t="s">
        <x:v>304</x:v>
      </x:c>
      <x:c r="H269" s="8">
        <x:v>0.3</x:v>
      </x:c>
      <x:c r="I269" s="9" t="n">
        <x:f t="shared" si="4">IFERROR(ABS(F269)/H269,"")</x:f>
        <x:v>0.02766666666666667</x:v>
      </x:c>
      <x:c r="J269" s="2" t="s">
        <x:v>298</x:v>
      </x:c>
      <x:c r="K269" s="8">
        <x:v>0.93708999999999998</x:v>
      </x:c>
      <x:c r="L269" s="2" t="s">
        <x:v>299</x:v>
      </x:c>
      <x:c r="M269" s="2">
        <x:v>1</x:v>
      </x:c>
      <x:c r="N269" s="2" t="s">
        <x:v>79</x:v>
      </x:c>
      <x:c r="O269" s="5">
        <x:v>65.7</x:v>
      </x:c>
      <x:c r="P269" s="2">
        <x:v>290</x:v>
      </x:c>
      <x:c r="Q269" s="2" t="n">
        <x:f>IF(OR(J269="positive",J269="negative"),1,0)</x:f>
        <x:v>1</x:v>
      </x:c>
    </x:row>
    <x:row r="270" ht="15">
      <x:c r="A270" s="2" t="s">
        <x:v>36</x:v>
      </x:c>
      <x:c r="B270" s="2" t="s">
        <x:v>152</x:v>
      </x:c>
      <x:c r="C270" s="2">
        <x:v>3</x:v>
      </x:c>
      <x:c r="D270" s="2" t="s">
        <x:v>295</x:v>
      </x:c>
      <x:c r="E270" s="2" t="s">
        <x:v>296</x:v>
      </x:c>
      <x:c r="F270" s="7">
        <x:v>0.41325000000000001</x:v>
      </x:c>
      <x:c r="G270" s="2" t="s">
        <x:v>297</x:v>
      </x:c>
      <x:c r="H270" s="8">
        <x:v>3.5</x:v>
      </x:c>
      <x:c r="I270" s="9" t="n">
        <x:f t="shared" si="4">IFERROR(ABS(F270)/H270,"")</x:f>
        <x:v>0.11807142857142858</x:v>
      </x:c>
      <x:c r="J270" s="2" t="s">
        <x:v>298</x:v>
      </x:c>
      <x:c r="K270" s="8">
        <x:v>0.92154999999999998</x:v>
      </x:c>
      <x:c r="L270" s="2" t="s">
        <x:v>299</x:v>
      </x:c>
      <x:c r="M270" s="2">
        <x:v>1</x:v>
      </x:c>
      <x:c r="N270" s="2" t="s">
        <x:v>79</x:v>
      </x:c>
      <x:c r="O270" s="5">
        <x:v>61.8</x:v>
      </x:c>
      <x:c r="P270" s="2">
        <x:v>442</x:v>
      </x:c>
      <x:c r="Q270" s="2" t="n">
        <x:f>IF(OR(J270="positive",J270="negative"),1,0)</x:f>
        <x:v>1</x:v>
      </x:c>
    </x:row>
    <x:row r="271" ht="15">
      <x:c r="A271" s="2" t="s">
        <x:v>36</x:v>
      </x:c>
      <x:c r="B271" s="2" t="s">
        <x:v>152</x:v>
      </x:c>
      <x:c r="C271" s="2">
        <x:v>3</x:v>
      </x:c>
      <x:c r="D271" s="2" t="s">
        <x:v>300</x:v>
      </x:c>
      <x:c r="E271" s="2" t="s">
        <x:v>301</x:v>
      </x:c>
      <x:c r="F271" s="7">
        <x:v>-0.48599999999999999</x:v>
      </x:c>
      <x:c r="G271" s="2" t="s">
        <x:v>302</x:v>
      </x:c>
      <x:c r="H271" s="8">
        <x:v>0.45</x:v>
      </x:c>
      <x:c r="I271" s="9" t="n">
        <x:f t="shared" si="4">IFERROR(ABS(F271)/H271,"")</x:f>
        <x:v>1.0799999999999998</x:v>
      </x:c>
      <x:c r="J271" s="2" t="s">
        <x:v>310</x:v>
      </x:c>
      <x:c r="K271" s="8">
        <x:v>0.90998999999999997</x:v>
      </x:c>
      <x:c r="L271" s="2" t="s">
        <x:v>311</x:v>
      </x:c>
      <x:c r="M271" s="2">
        <x:v>1</x:v>
      </x:c>
      <x:c r="N271" s="2" t="s">
        <x:v>79</x:v>
      </x:c>
      <x:c r="O271" s="5">
        <x:v>61.8</x:v>
      </x:c>
      <x:c r="P271" s="2">
        <x:v>442</x:v>
      </x:c>
      <x:c r="Q271" s="2" t="n">
        <x:f>IF(OR(J271="positive",J271="negative"),1,0)</x:f>
        <x:v>1</x:v>
      </x:c>
    </x:row>
    <x:row r="272" ht="15">
      <x:c r="A272" s="2" t="s">
        <x:v>36</x:v>
      </x:c>
      <x:c r="B272" s="2" t="s">
        <x:v>152</x:v>
      </x:c>
      <x:c r="C272" s="2">
        <x:v>3</x:v>
      </x:c>
      <x:c r="D272" s="2" t="s">
        <x:v>18</x:v>
      </x:c>
      <x:c r="E272" s="2" t="s">
        <x:v>303</x:v>
      </x:c>
      <x:c r="F272" s="7">
        <x:v>-4.7499999999999999E-3</x:v>
      </x:c>
      <x:c r="G272" s="2" t="s">
        <x:v>304</x:v>
      </x:c>
      <x:c r="H272" s="8">
        <x:v>7.4999999999999997E-2</x:v>
      </x:c>
      <x:c r="I272" s="9" t="n">
        <x:f t="shared" si="4">IFERROR(ABS(F272)/H272,"")</x:f>
        <x:v>0.06333333333333334</x:v>
      </x:c>
      <x:c r="J272" s="2" t="s">
        <x:v>298</x:v>
      </x:c>
      <x:c r="K272" s="8">
        <x:v>0.97402</x:v>
      </x:c>
      <x:c r="L272" s="2" t="s">
        <x:v>299</x:v>
      </x:c>
      <x:c r="M272" s="2">
        <x:v>1</x:v>
      </x:c>
      <x:c r="N272" s="2" t="s">
        <x:v>79</x:v>
      </x:c>
      <x:c r="O272" s="5">
        <x:v>61.8</x:v>
      </x:c>
      <x:c r="P272" s="2">
        <x:v>442</x:v>
      </x:c>
      <x:c r="Q272" s="2" t="n">
        <x:f>IF(OR(J272="positive",J272="negative"),1,0)</x:f>
        <x:v>1</x:v>
      </x:c>
    </x:row>
    <x:row r="273" ht="15">
      <x:c r="A273" s="2" t="s">
        <x:v>36</x:v>
      </x:c>
      <x:c r="B273" s="2" t="s">
        <x:v>152</x:v>
      </x:c>
      <x:c r="C273" s="2">
        <x:v>3</x:v>
      </x:c>
      <x:c r="D273" s="2" t="s">
        <x:v>305</x:v>
      </x:c>
      <x:c r="E273" s="2" t="s">
        <x:v>306</x:v>
      </x:c>
      <x:c r="F273" s="7">
        <x:v>6.8399999999999997E-3</x:v>
      </x:c>
      <x:c r="G273" s="2" t="s">
        <x:v>304</x:v>
      </x:c>
      <x:c r="H273" s="8">
        <x:v>0.3</x:v>
      </x:c>
      <x:c r="I273" s="9" t="n">
        <x:f t="shared" si="4">IFERROR(ABS(F273)/H273,"")</x:f>
        <x:v>0.0228</x:v>
      </x:c>
      <x:c r="J273" s="2" t="s">
        <x:v>298</x:v>
      </x:c>
      <x:c r="K273" s="8">
        <x:v>0.94821999999999995</x:v>
      </x:c>
      <x:c r="L273" s="2" t="s">
        <x:v>299</x:v>
      </x:c>
      <x:c r="M273" s="2">
        <x:v>1</x:v>
      </x:c>
      <x:c r="N273" s="2" t="s">
        <x:v>79</x:v>
      </x:c>
      <x:c r="O273" s="5">
        <x:v>61.8</x:v>
      </x:c>
      <x:c r="P273" s="2">
        <x:v>442</x:v>
      </x:c>
      <x:c r="Q273" s="2" t="n">
        <x:f>IF(OR(J273="positive",J273="negative"),1,0)</x:f>
        <x:v>1</x:v>
      </x:c>
    </x:row>
    <x:row r="274" ht="15">
      <x:c r="A274" s="2" t="s">
        <x:v>36</x:v>
      </x:c>
      <x:c r="B274" s="2" t="s">
        <x:v>153</x:v>
      </x:c>
      <x:c r="C274" s="2">
        <x:v>4</x:v>
      </x:c>
      <x:c r="D274" s="2" t="s">
        <x:v>295</x:v>
      </x:c>
      <x:c r="E274" s="2" t="s">
        <x:v>296</x:v>
      </x:c>
      <x:c r="F274" s="7">
        <x:v>0.43975999999999998</x:v>
      </x:c>
      <x:c r="G274" s="2" t="s">
        <x:v>297</x:v>
      </x:c>
      <x:c r="H274" s="8">
        <x:v>3.5</x:v>
      </x:c>
      <x:c r="I274" s="9" t="n">
        <x:f t="shared" si="4">IFERROR(ABS(F274)/H274,"")</x:f>
        <x:v>0.12564571428571428</x:v>
      </x:c>
      <x:c r="J274" s="2" t="s">
        <x:v>298</x:v>
      </x:c>
      <x:c r="K274" s="8">
        <x:v>0.94893000000000005</x:v>
      </x:c>
      <x:c r="L274" s="2" t="s">
        <x:v>299</x:v>
      </x:c>
      <x:c r="M274" s="2">
        <x:v>1</x:v>
      </x:c>
      <x:c r="N274" s="2" t="s">
        <x:v>79</x:v>
      </x:c>
      <x:c r="O274" s="5">
        <x:v>59.9</x:v>
      </x:c>
      <x:c r="P274" s="2">
        <x:v>472</x:v>
      </x:c>
      <x:c r="Q274" s="2" t="n">
        <x:f>IF(OR(J274="positive",J274="negative"),1,0)</x:f>
        <x:v>1</x:v>
      </x:c>
    </x:row>
    <x:row r="275" ht="15">
      <x:c r="A275" s="2" t="s">
        <x:v>36</x:v>
      </x:c>
      <x:c r="B275" s="2" t="s">
        <x:v>153</x:v>
      </x:c>
      <x:c r="C275" s="2">
        <x:v>4</x:v>
      </x:c>
      <x:c r="D275" s="2" t="s">
        <x:v>300</x:v>
      </x:c>
      <x:c r="E275" s="2" t="s">
        <x:v>301</x:v>
      </x:c>
      <x:c r="F275" s="7">
        <x:v>4.7600000000000003E-2</x:v>
      </x:c>
      <x:c r="G275" s="2" t="s">
        <x:v>302</x:v>
      </x:c>
      <x:c r="H275" s="8">
        <x:v>0.45</x:v>
      </x:c>
      <x:c r="I275" s="9" t="n">
        <x:f t="shared" si="4">IFERROR(ABS(F275)/H275,"")</x:f>
        <x:v>0.10577777777777778</x:v>
      </x:c>
      <x:c r="J275" s="2" t="s">
        <x:v>298</x:v>
      </x:c>
      <x:c r="K275" s="8">
        <x:v>0.93788000000000005</x:v>
      </x:c>
      <x:c r="L275" s="2" t="s">
        <x:v>299</x:v>
      </x:c>
      <x:c r="M275" s="2">
        <x:v>1</x:v>
      </x:c>
      <x:c r="N275" s="2" t="s">
        <x:v>79</x:v>
      </x:c>
      <x:c r="O275" s="5">
        <x:v>59.9</x:v>
      </x:c>
      <x:c r="P275" s="2">
        <x:v>472</x:v>
      </x:c>
      <x:c r="Q275" s="2" t="n">
        <x:f>IF(OR(J275="positive",J275="negative"),1,0)</x:f>
        <x:v>1</x:v>
      </x:c>
    </x:row>
    <x:row r="276" ht="15">
      <x:c r="A276" s="2" t="s">
        <x:v>36</x:v>
      </x:c>
      <x:c r="B276" s="2" t="s">
        <x:v>153</x:v>
      </x:c>
      <x:c r="C276" s="2">
        <x:v>4</x:v>
      </x:c>
      <x:c r="D276" s="2" t="s">
        <x:v>18</x:v>
      </x:c>
      <x:c r="E276" s="2" t="s">
        <x:v>303</x:v>
      </x:c>
      <x:c r="F276" s="7">
        <x:v>3.7100000000000002E-3</x:v>
      </x:c>
      <x:c r="G276" s="2" t="s">
        <x:v>304</x:v>
      </x:c>
      <x:c r="H276" s="8">
        <x:v>7.4999999999999997E-2</x:v>
      </x:c>
      <x:c r="I276" s="9" t="n">
        <x:f t="shared" si="4">IFERROR(ABS(F276)/H276,"")</x:f>
        <x:v>0.04946666666666667</x:v>
      </x:c>
      <x:c r="J276" s="2" t="s">
        <x:v>298</x:v>
      </x:c>
      <x:c r="K276" s="8">
        <x:v>0.95433999999999997</x:v>
      </x:c>
      <x:c r="L276" s="2" t="s">
        <x:v>299</x:v>
      </x:c>
      <x:c r="M276" s="2">
        <x:v>1</x:v>
      </x:c>
      <x:c r="N276" s="2" t="s">
        <x:v>79</x:v>
      </x:c>
      <x:c r="O276" s="5">
        <x:v>59.9</x:v>
      </x:c>
      <x:c r="P276" s="2">
        <x:v>472</x:v>
      </x:c>
      <x:c r="Q276" s="2" t="n">
        <x:f>IF(OR(J276="positive",J276="negative"),1,0)</x:f>
        <x:v>1</x:v>
      </x:c>
    </x:row>
    <x:row r="277" ht="15">
      <x:c r="A277" s="2" t="s">
        <x:v>36</x:v>
      </x:c>
      <x:c r="B277" s="2" t="s">
        <x:v>153</x:v>
      </x:c>
      <x:c r="C277" s="2">
        <x:v>4</x:v>
      </x:c>
      <x:c r="D277" s="2" t="s">
        <x:v>305</x:v>
      </x:c>
      <x:c r="E277" s="2" t="s">
        <x:v>306</x:v>
      </x:c>
      <x:c r="F277" s="7">
        <x:v>2.9829999999999999E-2</x:v>
      </x:c>
      <x:c r="G277" s="2" t="s">
        <x:v>304</x:v>
      </x:c>
      <x:c r="H277" s="8">
        <x:v>0.3</x:v>
      </x:c>
      <x:c r="I277" s="9" t="n">
        <x:f t="shared" si="4">IFERROR(ABS(F277)/H277,"")</x:f>
        <x:v>0.09943333333333333</x:v>
      </x:c>
      <x:c r="J277" s="2" t="s">
        <x:v>298</x:v>
      </x:c>
      <x:c r="K277" s="8">
        <x:v>0.91569999999999996</x:v>
      </x:c>
      <x:c r="L277" s="2" t="s">
        <x:v>299</x:v>
      </x:c>
      <x:c r="M277" s="2">
        <x:v>1</x:v>
      </x:c>
      <x:c r="N277" s="2" t="s">
        <x:v>79</x:v>
      </x:c>
      <x:c r="O277" s="5">
        <x:v>59.9</x:v>
      </x:c>
      <x:c r="P277" s="2">
        <x:v>472</x:v>
      </x:c>
      <x:c r="Q277" s="2" t="n">
        <x:f>IF(OR(J277="positive",J277="negative"),1,0)</x:f>
        <x:v>1</x:v>
      </x:c>
    </x:row>
    <x:row r="278" ht="15">
      <x:c r="A278" s="2" t="s">
        <x:v>36</x:v>
      </x:c>
      <x:c r="B278" s="2" t="s">
        <x:v>154</x:v>
      </x:c>
      <x:c r="C278" s="2">
        <x:v>5</x:v>
      </x:c>
      <x:c r="D278" s="2" t="s">
        <x:v>295</x:v>
      </x:c>
      <x:c r="E278" s="2" t="s">
        <x:v>296</x:v>
      </x:c>
      <x:c r="F278" s="7">
        <x:v>0.40345999999999999</x:v>
      </x:c>
      <x:c r="G278" s="2" t="s">
        <x:v>297</x:v>
      </x:c>
      <x:c r="H278" s="8">
        <x:v>3.5</x:v>
      </x:c>
      <x:c r="I278" s="9" t="n">
        <x:f t="shared" si="4">IFERROR(ABS(F278)/H278,"")</x:f>
        <x:v>0.1152742857142857</x:v>
      </x:c>
      <x:c r="J278" s="2" t="s">
        <x:v>298</x:v>
      </x:c>
      <x:c r="K278" s="8">
        <x:v>0.93235000000000001</x:v>
      </x:c>
      <x:c r="L278" s="2" t="s">
        <x:v>299</x:v>
      </x:c>
      <x:c r="M278" s="2">
        <x:v>1</x:v>
      </x:c>
      <x:c r="N278" s="2" t="s">
        <x:v>79</x:v>
      </x:c>
      <x:c r="O278" s="5">
        <x:v>66.5</x:v>
      </x:c>
      <x:c r="P278" s="2">
        <x:v>483</x:v>
      </x:c>
      <x:c r="Q278" s="2" t="n">
        <x:f>IF(OR(J278="positive",J278="negative"),1,0)</x:f>
        <x:v>1</x:v>
      </x:c>
    </x:row>
    <x:row r="279" ht="15">
      <x:c r="A279" s="2" t="s">
        <x:v>36</x:v>
      </x:c>
      <x:c r="B279" s="2" t="s">
        <x:v>154</x:v>
      </x:c>
      <x:c r="C279" s="2">
        <x:v>5</x:v>
      </x:c>
      <x:c r="D279" s="2" t="s">
        <x:v>300</x:v>
      </x:c>
      <x:c r="E279" s="2" t="s">
        <x:v>301</x:v>
      </x:c>
      <x:c r="F279" s="7">
        <x:v>9.1410000000000005E-2</x:v>
      </x:c>
      <x:c r="G279" s="2" t="s">
        <x:v>302</x:v>
      </x:c>
      <x:c r="H279" s="8">
        <x:v>0.45</x:v>
      </x:c>
      <x:c r="I279" s="9" t="n">
        <x:f t="shared" si="4">IFERROR(ABS(F279)/H279,"")</x:f>
        <x:v>0.20313333333333333</x:v>
      </x:c>
      <x:c r="J279" s="2" t="s">
        <x:v>298</x:v>
      </x:c>
      <x:c r="K279" s="8">
        <x:v>0.94908999999999999</x:v>
      </x:c>
      <x:c r="L279" s="2" t="s">
        <x:v>299</x:v>
      </x:c>
      <x:c r="M279" s="2">
        <x:v>1</x:v>
      </x:c>
      <x:c r="N279" s="2" t="s">
        <x:v>79</x:v>
      </x:c>
      <x:c r="O279" s="5">
        <x:v>66.5</x:v>
      </x:c>
      <x:c r="P279" s="2">
        <x:v>483</x:v>
      </x:c>
      <x:c r="Q279" s="2" t="n">
        <x:f>IF(OR(J279="positive",J279="negative"),1,0)</x:f>
        <x:v>1</x:v>
      </x:c>
    </x:row>
    <x:row r="280" ht="15">
      <x:c r="A280" s="2" t="s">
        <x:v>36</x:v>
      </x:c>
      <x:c r="B280" s="2" t="s">
        <x:v>154</x:v>
      </x:c>
      <x:c r="C280" s="2">
        <x:v>5</x:v>
      </x:c>
      <x:c r="D280" s="2" t="s">
        <x:v>18</x:v>
      </x:c>
      <x:c r="E280" s="2" t="s">
        <x:v>303</x:v>
      </x:c>
      <x:c r="F280" s="7">
        <x:v>-1.6000000000000001E-4</x:v>
      </x:c>
      <x:c r="G280" s="2" t="s">
        <x:v>304</x:v>
      </x:c>
      <x:c r="H280" s="8">
        <x:v>7.4999999999999997E-2</x:v>
      </x:c>
      <x:c r="I280" s="9" t="n">
        <x:f t="shared" si="4">IFERROR(ABS(F280)/H280,"")</x:f>
        <x:v>0.0021333333333333334</x:v>
      </x:c>
      <x:c r="J280" s="2" t="s">
        <x:v>298</x:v>
      </x:c>
      <x:c r="K280" s="8">
        <x:v>0.96972999999999998</x:v>
      </x:c>
      <x:c r="L280" s="2" t="s">
        <x:v>299</x:v>
      </x:c>
      <x:c r="M280" s="2">
        <x:v>1</x:v>
      </x:c>
      <x:c r="N280" s="2" t="s">
        <x:v>79</x:v>
      </x:c>
      <x:c r="O280" s="5">
        <x:v>66.5</x:v>
      </x:c>
      <x:c r="P280" s="2">
        <x:v>483</x:v>
      </x:c>
      <x:c r="Q280" s="2" t="n">
        <x:f>IF(OR(J280="positive",J280="negative"),1,0)</x:f>
        <x:v>1</x:v>
      </x:c>
    </x:row>
    <x:row r="281" ht="15">
      <x:c r="A281" s="2" t="s">
        <x:v>36</x:v>
      </x:c>
      <x:c r="B281" s="2" t="s">
        <x:v>154</x:v>
      </x:c>
      <x:c r="C281" s="2">
        <x:v>5</x:v>
      </x:c>
      <x:c r="D281" s="2" t="s">
        <x:v>305</x:v>
      </x:c>
      <x:c r="E281" s="2" t="s">
        <x:v>306</x:v>
      </x:c>
      <x:c r="F281" s="7">
        <x:v>-1.306E-2</x:v>
      </x:c>
      <x:c r="G281" s="2" t="s">
        <x:v>304</x:v>
      </x:c>
      <x:c r="H281" s="8">
        <x:v>0.3</x:v>
      </x:c>
      <x:c r="I281" s="9" t="n">
        <x:f t="shared" si="4">IFERROR(ABS(F281)/H281,"")</x:f>
        <x:v>0.043533333333333334</x:v>
      </x:c>
      <x:c r="J281" s="2" t="s">
        <x:v>298</x:v>
      </x:c>
      <x:c r="K281" s="8">
        <x:v>0.99</x:v>
      </x:c>
      <x:c r="L281" s="2" t="s">
        <x:v>299</x:v>
      </x:c>
      <x:c r="M281" s="2">
        <x:v>1</x:v>
      </x:c>
      <x:c r="N281" s="2" t="s">
        <x:v>79</x:v>
      </x:c>
      <x:c r="O281" s="5">
        <x:v>66.5</x:v>
      </x:c>
      <x:c r="P281" s="2">
        <x:v>483</x:v>
      </x:c>
      <x:c r="Q281" s="2" t="n">
        <x:f>IF(OR(J281="positive",J281="negative"),1,0)</x:f>
        <x:v>1</x:v>
      </x:c>
    </x:row>
    <x:row r="282" ht="15">
      <x:c r="A282" s="2" t="s">
        <x:v>37</x:v>
      </x:c>
      <x:c r="B282" s="2" t="s">
        <x:v>155</x:v>
      </x:c>
      <x:c r="C282" s="2">
        <x:v>1</x:v>
      </x:c>
      <x:c r="D282" s="2" t="s">
        <x:v>295</x:v>
      </x:c>
      <x:c r="E282" s="2" t="s">
        <x:v>296</x:v>
      </x:c>
      <x:c r="F282" s="7">
        <x:v>0.82357000000000002</x:v>
      </x:c>
      <x:c r="G282" s="2" t="s">
        <x:v>297</x:v>
      </x:c>
      <x:c r="H282" s="8">
        <x:v>3.5</x:v>
      </x:c>
      <x:c r="I282" s="9" t="n">
        <x:f t="shared" si="4">IFERROR(ABS(F282)/H282,"")</x:f>
        <x:v>0.23530571428571428</x:v>
      </x:c>
      <x:c r="J282" s="2" t="s">
        <x:v>298</x:v>
      </x:c>
      <x:c r="K282" s="8">
        <x:v>0.93215999999999999</x:v>
      </x:c>
      <x:c r="L282" s="2" t="s">
        <x:v>299</x:v>
      </x:c>
      <x:c r="M282" s="2">
        <x:v>1</x:v>
      </x:c>
      <x:c r="N282" s="2" t="s">
        <x:v>79</x:v>
      </x:c>
      <x:c r="O282" s="5">
        <x:v>59.5</x:v>
      </x:c>
      <x:c r="P282" s="2">
        <x:v>485</x:v>
      </x:c>
      <x:c r="Q282" s="2" t="n">
        <x:f>IF(OR(J282="positive",J282="negative"),1,0)</x:f>
        <x:v>1</x:v>
      </x:c>
    </x:row>
    <x:row r="283" ht="15">
      <x:c r="A283" s="2" t="s">
        <x:v>37</x:v>
      </x:c>
      <x:c r="B283" s="2" t="s">
        <x:v>155</x:v>
      </x:c>
      <x:c r="C283" s="2">
        <x:v>1</x:v>
      </x:c>
      <x:c r="D283" s="2" t="s">
        <x:v>300</x:v>
      </x:c>
      <x:c r="E283" s="2" t="s">
        <x:v>301</x:v>
      </x:c>
      <x:c r="F283" s="7">
        <x:v>0.12773000000000001</x:v>
      </x:c>
      <x:c r="G283" s="2" t="s">
        <x:v>302</x:v>
      </x:c>
      <x:c r="H283" s="8">
        <x:v>0.45</x:v>
      </x:c>
      <x:c r="I283" s="9" t="n">
        <x:f t="shared" si="4">IFERROR(ABS(F283)/H283,"")</x:f>
        <x:v>0.28384444444444445</x:v>
      </x:c>
      <x:c r="J283" s="2" t="s">
        <x:v>298</x:v>
      </x:c>
      <x:c r="K283" s="8">
        <x:v>0.98834999999999995</x:v>
      </x:c>
      <x:c r="L283" s="2" t="s">
        <x:v>299</x:v>
      </x:c>
      <x:c r="M283" s="2">
        <x:v>1</x:v>
      </x:c>
      <x:c r="N283" s="2" t="s">
        <x:v>79</x:v>
      </x:c>
      <x:c r="O283" s="5">
        <x:v>59.5</x:v>
      </x:c>
      <x:c r="P283" s="2">
        <x:v>485</x:v>
      </x:c>
      <x:c r="Q283" s="2" t="n">
        <x:f>IF(OR(J283="positive",J283="negative"),1,0)</x:f>
        <x:v>1</x:v>
      </x:c>
    </x:row>
    <x:row r="284" ht="15">
      <x:c r="A284" s="2" t="s">
        <x:v>37</x:v>
      </x:c>
      <x:c r="B284" s="2" t="s">
        <x:v>155</x:v>
      </x:c>
      <x:c r="C284" s="2">
        <x:v>1</x:v>
      </x:c>
      <x:c r="D284" s="2" t="s">
        <x:v>18</x:v>
      </x:c>
      <x:c r="E284" s="2" t="s">
        <x:v>303</x:v>
      </x:c>
      <x:c r="F284" s="7">
        <x:v>3.1969999999999998E-2</x:v>
      </x:c>
      <x:c r="G284" s="2" t="s">
        <x:v>304</x:v>
      </x:c>
      <x:c r="H284" s="8">
        <x:v>7.4999999999999997E-2</x:v>
      </x:c>
      <x:c r="I284" s="9" t="n">
        <x:f t="shared" si="4">IFERROR(ABS(F284)/H284,"")</x:f>
        <x:v>0.4262666666666667</x:v>
      </x:c>
      <x:c r="J284" s="2" t="s">
        <x:v>298</x:v>
      </x:c>
      <x:c r="K284" s="8">
        <x:v>0.95574000000000003</x:v>
      </x:c>
      <x:c r="L284" s="2" t="s">
        <x:v>299</x:v>
      </x:c>
      <x:c r="M284" s="2">
        <x:v>1</x:v>
      </x:c>
      <x:c r="N284" s="2" t="s">
        <x:v>79</x:v>
      </x:c>
      <x:c r="O284" s="5">
        <x:v>59.5</x:v>
      </x:c>
      <x:c r="P284" s="2">
        <x:v>485</x:v>
      </x:c>
      <x:c r="Q284" s="2" t="n">
        <x:f>IF(OR(J284="positive",J284="negative"),1,0)</x:f>
        <x:v>1</x:v>
      </x:c>
    </x:row>
    <x:row r="285" ht="15">
      <x:c r="A285" s="2" t="s">
        <x:v>37</x:v>
      </x:c>
      <x:c r="B285" s="2" t="s">
        <x:v>155</x:v>
      </x:c>
      <x:c r="C285" s="2">
        <x:v>1</x:v>
      </x:c>
      <x:c r="D285" s="2" t="s">
        <x:v>305</x:v>
      </x:c>
      <x:c r="E285" s="2" t="s">
        <x:v>306</x:v>
      </x:c>
      <x:c r="F285" s="7">
        <x:v>-5.8500000000000002E-3</x:v>
      </x:c>
      <x:c r="G285" s="2" t="s">
        <x:v>304</x:v>
      </x:c>
      <x:c r="H285" s="8">
        <x:v>0.3</x:v>
      </x:c>
      <x:c r="I285" s="9" t="n">
        <x:f t="shared" si="4">IFERROR(ABS(F285)/H285,"")</x:f>
        <x:v>0.0195</x:v>
      </x:c>
      <x:c r="J285" s="2" t="s">
        <x:v>298</x:v>
      </x:c>
      <x:c r="K285" s="8">
        <x:v>0.94308000000000003</x:v>
      </x:c>
      <x:c r="L285" s="2" t="s">
        <x:v>299</x:v>
      </x:c>
      <x:c r="M285" s="2">
        <x:v>1</x:v>
      </x:c>
      <x:c r="N285" s="2" t="s">
        <x:v>79</x:v>
      </x:c>
      <x:c r="O285" s="5">
        <x:v>59.5</x:v>
      </x:c>
      <x:c r="P285" s="2">
        <x:v>485</x:v>
      </x:c>
      <x:c r="Q285" s="2" t="n">
        <x:f>IF(OR(J285="positive",J285="negative"),1,0)</x:f>
        <x:v>1</x:v>
      </x:c>
    </x:row>
    <x:row r="286" ht="15">
      <x:c r="A286" s="2" t="s">
        <x:v>37</x:v>
      </x:c>
      <x:c r="B286" s="2" t="s">
        <x:v>156</x:v>
      </x:c>
      <x:c r="C286" s="2">
        <x:v>2</x:v>
      </x:c>
      <x:c r="D286" s="2" t="s">
        <x:v>295</x:v>
      </x:c>
      <x:c r="E286" s="2" t="s">
        <x:v>296</x:v>
      </x:c>
      <x:c r="F286" s="7">
        <x:v>0.89287000000000005</x:v>
      </x:c>
      <x:c r="G286" s="2" t="s">
        <x:v>297</x:v>
      </x:c>
      <x:c r="H286" s="8">
        <x:v>3.5</x:v>
      </x:c>
      <x:c r="I286" s="9" t="n">
        <x:f t="shared" si="4">IFERROR(ABS(F286)/H286,"")</x:f>
        <x:v>0.2551057142857143</x:v>
      </x:c>
      <x:c r="J286" s="2" t="s">
        <x:v>298</x:v>
      </x:c>
      <x:c r="K286" s="8">
        <x:v>0.94471000000000005</x:v>
      </x:c>
      <x:c r="L286" s="2" t="s">
        <x:v>299</x:v>
      </x:c>
      <x:c r="M286" s="2">
        <x:v>1</x:v>
      </x:c>
      <x:c r="N286" s="2" t="s">
        <x:v>79</x:v>
      </x:c>
      <x:c r="O286" s="5">
        <x:v>56.8</x:v>
      </x:c>
      <x:c r="P286" s="2">
        <x:v>455</x:v>
      </x:c>
      <x:c r="Q286" s="2" t="n">
        <x:f>IF(OR(J286="positive",J286="negative"),1,0)</x:f>
        <x:v>1</x:v>
      </x:c>
    </x:row>
    <x:row r="287" ht="15">
      <x:c r="A287" s="2" t="s">
        <x:v>37</x:v>
      </x:c>
      <x:c r="B287" s="2" t="s">
        <x:v>156</x:v>
      </x:c>
      <x:c r="C287" s="2">
        <x:v>2</x:v>
      </x:c>
      <x:c r="D287" s="2" t="s">
        <x:v>300</x:v>
      </x:c>
      <x:c r="E287" s="2" t="s">
        <x:v>301</x:v>
      </x:c>
      <x:c r="F287" s="7">
        <x:v>0.11724999999999999</x:v>
      </x:c>
      <x:c r="G287" s="2" t="s">
        <x:v>302</x:v>
      </x:c>
      <x:c r="H287" s="8">
        <x:v>0.45</x:v>
      </x:c>
      <x:c r="I287" s="9" t="n">
        <x:f t="shared" si="4">IFERROR(ABS(F287)/H287,"")</x:f>
        <x:v>0.26055555555555554</x:v>
      </x:c>
      <x:c r="J287" s="2" t="s">
        <x:v>298</x:v>
      </x:c>
      <x:c r="K287" s="8">
        <x:v>0.91981000000000002</x:v>
      </x:c>
      <x:c r="L287" s="2" t="s">
        <x:v>299</x:v>
      </x:c>
      <x:c r="M287" s="2">
        <x:v>1</x:v>
      </x:c>
      <x:c r="N287" s="2" t="s">
        <x:v>79</x:v>
      </x:c>
      <x:c r="O287" s="5">
        <x:v>56.8</x:v>
      </x:c>
      <x:c r="P287" s="2">
        <x:v>455</x:v>
      </x:c>
      <x:c r="Q287" s="2" t="n">
        <x:f>IF(OR(J287="positive",J287="negative"),1,0)</x:f>
        <x:v>1</x:v>
      </x:c>
    </x:row>
    <x:row r="288" ht="15">
      <x:c r="A288" s="2" t="s">
        <x:v>37</x:v>
      </x:c>
      <x:c r="B288" s="2" t="s">
        <x:v>156</x:v>
      </x:c>
      <x:c r="C288" s="2">
        <x:v>2</x:v>
      </x:c>
      <x:c r="D288" s="2" t="s">
        <x:v>18</x:v>
      </x:c>
      <x:c r="E288" s="2" t="s">
        <x:v>303</x:v>
      </x:c>
      <x:c r="F288" s="7">
        <x:v>2.572E-2</x:v>
      </x:c>
      <x:c r="G288" s="2" t="s">
        <x:v>304</x:v>
      </x:c>
      <x:c r="H288" s="8">
        <x:v>7.4999999999999997E-2</x:v>
      </x:c>
      <x:c r="I288" s="9" t="n">
        <x:f t="shared" si="4">IFERROR(ABS(F288)/H288,"")</x:f>
        <x:v>0.34293333333333337</x:v>
      </x:c>
      <x:c r="J288" s="2" t="s">
        <x:v>298</x:v>
      </x:c>
      <x:c r="K288" s="8">
        <x:v>0.95642000000000005</x:v>
      </x:c>
      <x:c r="L288" s="2" t="s">
        <x:v>299</x:v>
      </x:c>
      <x:c r="M288" s="2">
        <x:v>1</x:v>
      </x:c>
      <x:c r="N288" s="2" t="s">
        <x:v>79</x:v>
      </x:c>
      <x:c r="O288" s="5">
        <x:v>56.8</x:v>
      </x:c>
      <x:c r="P288" s="2">
        <x:v>455</x:v>
      </x:c>
      <x:c r="Q288" s="2" t="n">
        <x:f>IF(OR(J288="positive",J288="negative"),1,0)</x:f>
        <x:v>1</x:v>
      </x:c>
    </x:row>
    <x:row r="289" ht="15">
      <x:c r="A289" s="2" t="s">
        <x:v>37</x:v>
      </x:c>
      <x:c r="B289" s="2" t="s">
        <x:v>156</x:v>
      </x:c>
      <x:c r="C289" s="2">
        <x:v>2</x:v>
      </x:c>
      <x:c r="D289" s="2" t="s">
        <x:v>305</x:v>
      </x:c>
      <x:c r="E289" s="2" t="s">
        <x:v>306</x:v>
      </x:c>
      <x:c r="F289" s="7">
        <x:v>-4.9699999999999996E-3</x:v>
      </x:c>
      <x:c r="G289" s="2" t="s">
        <x:v>304</x:v>
      </x:c>
      <x:c r="H289" s="8">
        <x:v>0.3</x:v>
      </x:c>
      <x:c r="I289" s="9" t="n">
        <x:f t="shared" si="4">IFERROR(ABS(F289)/H289,"")</x:f>
        <x:v>0.016566666666666667</x:v>
      </x:c>
      <x:c r="J289" s="2" t="s">
        <x:v>298</x:v>
      </x:c>
      <x:c r="K289" s="8">
        <x:v>0.95979999999999999</x:v>
      </x:c>
      <x:c r="L289" s="2" t="s">
        <x:v>299</x:v>
      </x:c>
      <x:c r="M289" s="2">
        <x:v>1</x:v>
      </x:c>
      <x:c r="N289" s="2" t="s">
        <x:v>79</x:v>
      </x:c>
      <x:c r="O289" s="5">
        <x:v>56.8</x:v>
      </x:c>
      <x:c r="P289" s="2">
        <x:v>455</x:v>
      </x:c>
      <x:c r="Q289" s="2" t="n">
        <x:f>IF(OR(J289="positive",J289="negative"),1,0)</x:f>
        <x:v>1</x:v>
      </x:c>
    </x:row>
    <x:row r="290" ht="15">
      <x:c r="A290" s="2" t="s">
        <x:v>37</x:v>
      </x:c>
      <x:c r="B290" s="2" t="s">
        <x:v>157</x:v>
      </x:c>
      <x:c r="C290" s="2">
        <x:v>3</x:v>
      </x:c>
      <x:c r="D290" s="2" t="s">
        <x:v>295</x:v>
      </x:c>
      <x:c r="E290" s="2" t="s">
        <x:v>296</x:v>
      </x:c>
      <x:c r="F290" s="7">
        <x:v>0.97299999999999998</x:v>
      </x:c>
      <x:c r="G290" s="2" t="s">
        <x:v>297</x:v>
      </x:c>
      <x:c r="H290" s="8">
        <x:v>3.5</x:v>
      </x:c>
      <x:c r="I290" s="9" t="n">
        <x:f t="shared" si="4">IFERROR(ABS(F290)/H290,"")</x:f>
        <x:v>0.27799999999999997</x:v>
      </x:c>
      <x:c r="J290" s="2" t="s">
        <x:v>298</x:v>
      </x:c>
      <x:c r="K290" s="8">
        <x:v>0.93730000000000002</x:v>
      </x:c>
      <x:c r="L290" s="2" t="s">
        <x:v>299</x:v>
      </x:c>
      <x:c r="M290" s="2">
        <x:v>1</x:v>
      </x:c>
      <x:c r="N290" s="2" t="s">
        <x:v>79</x:v>
      </x:c>
      <x:c r="O290" s="5">
        <x:v>57.1</x:v>
      </x:c>
      <x:c r="P290" s="2">
        <x:v>397</x:v>
      </x:c>
      <x:c r="Q290" s="2" t="n">
        <x:f>IF(OR(J290="positive",J290="negative"),1,0)</x:f>
        <x:v>1</x:v>
      </x:c>
    </x:row>
    <x:row r="291" ht="15">
      <x:c r="A291" s="2" t="s">
        <x:v>37</x:v>
      </x:c>
      <x:c r="B291" s="2" t="s">
        <x:v>157</x:v>
      </x:c>
      <x:c r="C291" s="2">
        <x:v>3</x:v>
      </x:c>
      <x:c r="D291" s="2" t="s">
        <x:v>300</x:v>
      </x:c>
      <x:c r="E291" s="2" t="s">
        <x:v>301</x:v>
      </x:c>
      <x:c r="F291" s="7">
        <x:v>0.13128000000000001</x:v>
      </x:c>
      <x:c r="G291" s="2" t="s">
        <x:v>302</x:v>
      </x:c>
      <x:c r="H291" s="8">
        <x:v>0.45</x:v>
      </x:c>
      <x:c r="I291" s="9" t="n">
        <x:f t="shared" si="4">IFERROR(ABS(F291)/H291,"")</x:f>
        <x:v>0.29173333333333334</x:v>
      </x:c>
      <x:c r="J291" s="2" t="s">
        <x:v>298</x:v>
      </x:c>
      <x:c r="K291" s="8">
        <x:v>0.91551000000000005</x:v>
      </x:c>
      <x:c r="L291" s="2" t="s">
        <x:v>299</x:v>
      </x:c>
      <x:c r="M291" s="2">
        <x:v>1</x:v>
      </x:c>
      <x:c r="N291" s="2" t="s">
        <x:v>79</x:v>
      </x:c>
      <x:c r="O291" s="5">
        <x:v>57.1</x:v>
      </x:c>
      <x:c r="P291" s="2">
        <x:v>397</x:v>
      </x:c>
      <x:c r="Q291" s="2" t="n">
        <x:f>IF(OR(J291="positive",J291="negative"),1,0)</x:f>
        <x:v>1</x:v>
      </x:c>
    </x:row>
    <x:row r="292" ht="15">
      <x:c r="A292" s="2" t="s">
        <x:v>37</x:v>
      </x:c>
      <x:c r="B292" s="2" t="s">
        <x:v>157</x:v>
      </x:c>
      <x:c r="C292" s="2">
        <x:v>3</x:v>
      </x:c>
      <x:c r="D292" s="2" t="s">
        <x:v>18</x:v>
      </x:c>
      <x:c r="E292" s="2" t="s">
        <x:v>303</x:v>
      </x:c>
      <x:c r="F292" s="7">
        <x:v>1.941E-2</x:v>
      </x:c>
      <x:c r="G292" s="2" t="s">
        <x:v>304</x:v>
      </x:c>
      <x:c r="H292" s="8">
        <x:v>7.4999999999999997E-2</x:v>
      </x:c>
      <x:c r="I292" s="9" t="n">
        <x:f t="shared" si="4">IFERROR(ABS(F292)/H292,"")</x:f>
        <x:v>0.25880000000000003</x:v>
      </x:c>
      <x:c r="J292" s="2" t="s">
        <x:v>298</x:v>
      </x:c>
      <x:c r="K292" s="8">
        <x:v>0.92039000000000004</x:v>
      </x:c>
      <x:c r="L292" s="2" t="s">
        <x:v>299</x:v>
      </x:c>
      <x:c r="M292" s="2">
        <x:v>1</x:v>
      </x:c>
      <x:c r="N292" s="2" t="s">
        <x:v>79</x:v>
      </x:c>
      <x:c r="O292" s="5">
        <x:v>57.1</x:v>
      </x:c>
      <x:c r="P292" s="2">
        <x:v>397</x:v>
      </x:c>
      <x:c r="Q292" s="2" t="n">
        <x:f>IF(OR(J292="positive",J292="negative"),1,0)</x:f>
        <x:v>1</x:v>
      </x:c>
    </x:row>
    <x:row r="293" ht="15">
      <x:c r="A293" s="2" t="s">
        <x:v>37</x:v>
      </x:c>
      <x:c r="B293" s="2" t="s">
        <x:v>157</x:v>
      </x:c>
      <x:c r="C293" s="2">
        <x:v>3</x:v>
      </x:c>
      <x:c r="D293" s="2" t="s">
        <x:v>305</x:v>
      </x:c>
      <x:c r="E293" s="2" t="s">
        <x:v>306</x:v>
      </x:c>
      <x:c r="F293" s="7">
        <x:v>-2.3999999999999998E-3</x:v>
      </x:c>
      <x:c r="G293" s="2" t="s">
        <x:v>304</x:v>
      </x:c>
      <x:c r="H293" s="8">
        <x:v>0.3</x:v>
      </x:c>
      <x:c r="I293" s="9" t="n">
        <x:f t="shared" si="4">IFERROR(ABS(F293)/H293,"")</x:f>
        <x:v>0.008</x:v>
      </x:c>
      <x:c r="J293" s="2" t="s">
        <x:v>298</x:v>
      </x:c>
      <x:c r="K293" s="8">
        <x:v>0.92964999999999998</x:v>
      </x:c>
      <x:c r="L293" s="2" t="s">
        <x:v>299</x:v>
      </x:c>
      <x:c r="M293" s="2">
        <x:v>1</x:v>
      </x:c>
      <x:c r="N293" s="2" t="s">
        <x:v>79</x:v>
      </x:c>
      <x:c r="O293" s="5">
        <x:v>57.1</x:v>
      </x:c>
      <x:c r="P293" s="2">
        <x:v>397</x:v>
      </x:c>
      <x:c r="Q293" s="2" t="n">
        <x:f>IF(OR(J293="positive",J293="negative"),1,0)</x:f>
        <x:v>1</x:v>
      </x:c>
    </x:row>
    <x:row r="294" ht="15">
      <x:c r="A294" s="2" t="s">
        <x:v>37</x:v>
      </x:c>
      <x:c r="B294" s="2" t="s">
        <x:v>158</x:v>
      </x:c>
      <x:c r="C294" s="2">
        <x:v>4</x:v>
      </x:c>
      <x:c r="D294" s="2" t="s">
        <x:v>295</x:v>
      </x:c>
      <x:c r="E294" s="2" t="s">
        <x:v>296</x:v>
      </x:c>
      <x:c r="F294" s="7">
        <x:v>0.68866000000000005</x:v>
      </x:c>
      <x:c r="G294" s="2" t="s">
        <x:v>297</x:v>
      </x:c>
      <x:c r="H294" s="8">
        <x:v>3.5</x:v>
      </x:c>
      <x:c r="I294" s="9" t="n">
        <x:f t="shared" si="4">IFERROR(ABS(F294)/H294,"")</x:f>
        <x:v>0.19676000000000002</x:v>
      </x:c>
      <x:c r="J294" s="2" t="s">
        <x:v>298</x:v>
      </x:c>
      <x:c r="K294" s="8">
        <x:v>0.93586999999999998</x:v>
      </x:c>
      <x:c r="L294" s="2" t="s">
        <x:v>299</x:v>
      </x:c>
      <x:c r="M294" s="2">
        <x:v>1</x:v>
      </x:c>
      <x:c r="N294" s="2" t="s">
        <x:v>79</x:v>
      </x:c>
      <x:c r="O294" s="5">
        <x:v>55.2</x:v>
      </x:c>
      <x:c r="P294" s="2">
        <x:v>481</x:v>
      </x:c>
      <x:c r="Q294" s="2" t="n">
        <x:f>IF(OR(J294="positive",J294="negative"),1,0)</x:f>
        <x:v>1</x:v>
      </x:c>
    </x:row>
    <x:row r="295" ht="15">
      <x:c r="A295" s="2" t="s">
        <x:v>37</x:v>
      </x:c>
      <x:c r="B295" s="2" t="s">
        <x:v>158</x:v>
      </x:c>
      <x:c r="C295" s="2">
        <x:v>4</x:v>
      </x:c>
      <x:c r="D295" s="2" t="s">
        <x:v>300</x:v>
      </x:c>
      <x:c r="E295" s="2" t="s">
        <x:v>301</x:v>
      </x:c>
      <x:c r="F295" s="7">
        <x:v>0.13733000000000001</x:v>
      </x:c>
      <x:c r="G295" s="2" t="s">
        <x:v>302</x:v>
      </x:c>
      <x:c r="H295" s="8">
        <x:v>0.45</x:v>
      </x:c>
      <x:c r="I295" s="9" t="n">
        <x:f t="shared" si="4">IFERROR(ABS(F295)/H295,"")</x:f>
        <x:v>0.30517777777777777</x:v>
      </x:c>
      <x:c r="J295" s="2" t="s">
        <x:v>298</x:v>
      </x:c>
      <x:c r="K295" s="8">
        <x:v>0.93918000000000001</x:v>
      </x:c>
      <x:c r="L295" s="2" t="s">
        <x:v>299</x:v>
      </x:c>
      <x:c r="M295" s="2">
        <x:v>1</x:v>
      </x:c>
      <x:c r="N295" s="2" t="s">
        <x:v>79</x:v>
      </x:c>
      <x:c r="O295" s="5">
        <x:v>55.2</x:v>
      </x:c>
      <x:c r="P295" s="2">
        <x:v>481</x:v>
      </x:c>
      <x:c r="Q295" s="2" t="n">
        <x:f>IF(OR(J295="positive",J295="negative"),1,0)</x:f>
        <x:v>1</x:v>
      </x:c>
    </x:row>
    <x:row r="296" ht="15">
      <x:c r="A296" s="2" t="s">
        <x:v>37</x:v>
      </x:c>
      <x:c r="B296" s="2" t="s">
        <x:v>158</x:v>
      </x:c>
      <x:c r="C296" s="2">
        <x:v>4</x:v>
      </x:c>
      <x:c r="D296" s="2" t="s">
        <x:v>18</x:v>
      </x:c>
      <x:c r="E296" s="2" t="s">
        <x:v>303</x:v>
      </x:c>
      <x:c r="F296" s="7">
        <x:v>2.1149999999999999E-2</x:v>
      </x:c>
      <x:c r="G296" s="2" t="s">
        <x:v>304</x:v>
      </x:c>
      <x:c r="H296" s="8">
        <x:v>7.4999999999999997E-2</x:v>
      </x:c>
      <x:c r="I296" s="9" t="n">
        <x:f t="shared" si="4">IFERROR(ABS(F296)/H296,"")</x:f>
        <x:v>0.282</x:v>
      </x:c>
      <x:c r="J296" s="2" t="s">
        <x:v>298</x:v>
      </x:c>
      <x:c r="K296" s="8">
        <x:v>0.93879000000000001</x:v>
      </x:c>
      <x:c r="L296" s="2" t="s">
        <x:v>299</x:v>
      </x:c>
      <x:c r="M296" s="2">
        <x:v>1</x:v>
      </x:c>
      <x:c r="N296" s="2" t="s">
        <x:v>79</x:v>
      </x:c>
      <x:c r="O296" s="5">
        <x:v>55.2</x:v>
      </x:c>
      <x:c r="P296" s="2">
        <x:v>481</x:v>
      </x:c>
      <x:c r="Q296" s="2" t="n">
        <x:f>IF(OR(J296="positive",J296="negative"),1,0)</x:f>
        <x:v>1</x:v>
      </x:c>
    </x:row>
    <x:row r="297" ht="15">
      <x:c r="A297" s="2" t="s">
        <x:v>37</x:v>
      </x:c>
      <x:c r="B297" s="2" t="s">
        <x:v>158</x:v>
      </x:c>
      <x:c r="C297" s="2">
        <x:v>4</x:v>
      </x:c>
      <x:c r="D297" s="2" t="s">
        <x:v>305</x:v>
      </x:c>
      <x:c r="E297" s="2" t="s">
        <x:v>306</x:v>
      </x:c>
      <x:c r="F297" s="7">
        <x:v>-2.7999999999999998E-4</x:v>
      </x:c>
      <x:c r="G297" s="2" t="s">
        <x:v>304</x:v>
      </x:c>
      <x:c r="H297" s="8">
        <x:v>0.3</x:v>
      </x:c>
      <x:c r="I297" s="9" t="n">
        <x:f t="shared" si="4">IFERROR(ABS(F297)/H297,"")</x:f>
        <x:v>0.0009333333333333333</x:v>
      </x:c>
      <x:c r="J297" s="2" t="s">
        <x:v>298</x:v>
      </x:c>
      <x:c r="K297" s="8">
        <x:v>0.92076000000000002</x:v>
      </x:c>
      <x:c r="L297" s="2" t="s">
        <x:v>299</x:v>
      </x:c>
      <x:c r="M297" s="2">
        <x:v>1</x:v>
      </x:c>
      <x:c r="N297" s="2" t="s">
        <x:v>79</x:v>
      </x:c>
      <x:c r="O297" s="5">
        <x:v>55.2</x:v>
      </x:c>
      <x:c r="P297" s="2">
        <x:v>481</x:v>
      </x:c>
      <x:c r="Q297" s="2" t="n">
        <x:f>IF(OR(J297="positive",J297="negative"),1,0)</x:f>
        <x:v>1</x:v>
      </x:c>
    </x:row>
    <x:row r="298" ht="15">
      <x:c r="A298" s="2" t="s">
        <x:v>37</x:v>
      </x:c>
      <x:c r="B298" s="2" t="s">
        <x:v>159</x:v>
      </x:c>
      <x:c r="C298" s="2">
        <x:v>5</x:v>
      </x:c>
      <x:c r="D298" s="2" t="s">
        <x:v>295</x:v>
      </x:c>
      <x:c r="E298" s="2" t="s">
        <x:v>296</x:v>
      </x:c>
      <x:c r="F298" s="7">
        <x:v>0.67935999999999996</x:v>
      </x:c>
      <x:c r="G298" s="2" t="s">
        <x:v>297</x:v>
      </x:c>
      <x:c r="H298" s="8">
        <x:v>3.5</x:v>
      </x:c>
      <x:c r="I298" s="9" t="n">
        <x:f t="shared" si="4">IFERROR(ABS(F298)/H298,"")</x:f>
        <x:v>0.19410285714285713</x:v>
      </x:c>
      <x:c r="J298" s="2" t="s">
        <x:v>298</x:v>
      </x:c>
      <x:c r="K298" s="8">
        <x:v>0.93659000000000003</x:v>
      </x:c>
      <x:c r="L298" s="2" t="s">
        <x:v>299</x:v>
      </x:c>
      <x:c r="M298" s="2">
        <x:v>1</x:v>
      </x:c>
      <x:c r="N298" s="2" t="s">
        <x:v>79</x:v>
      </x:c>
      <x:c r="O298" s="5">
        <x:v>59.5</x:v>
      </x:c>
      <x:c r="P298" s="2">
        <x:v>425</x:v>
      </x:c>
      <x:c r="Q298" s="2" t="n">
        <x:f>IF(OR(J298="positive",J298="negative"),1,0)</x:f>
        <x:v>1</x:v>
      </x:c>
    </x:row>
    <x:row r="299" ht="15">
      <x:c r="A299" s="2" t="s">
        <x:v>37</x:v>
      </x:c>
      <x:c r="B299" s="2" t="s">
        <x:v>159</x:v>
      </x:c>
      <x:c r="C299" s="2">
        <x:v>5</x:v>
      </x:c>
      <x:c r="D299" s="2" t="s">
        <x:v>300</x:v>
      </x:c>
      <x:c r="E299" s="2" t="s">
        <x:v>301</x:v>
      </x:c>
      <x:c r="F299" s="7">
        <x:v>0.14169000000000001</x:v>
      </x:c>
      <x:c r="G299" s="2" t="s">
        <x:v>302</x:v>
      </x:c>
      <x:c r="H299" s="8">
        <x:v>0.45</x:v>
      </x:c>
      <x:c r="I299" s="9" t="n">
        <x:f t="shared" si="4">IFERROR(ABS(F299)/H299,"")</x:f>
        <x:v>0.3148666666666667</x:v>
      </x:c>
      <x:c r="J299" s="2" t="s">
        <x:v>298</x:v>
      </x:c>
      <x:c r="K299" s="8">
        <x:v>0.94289999999999996</x:v>
      </x:c>
      <x:c r="L299" s="2" t="s">
        <x:v>299</x:v>
      </x:c>
      <x:c r="M299" s="2">
        <x:v>1</x:v>
      </x:c>
      <x:c r="N299" s="2" t="s">
        <x:v>79</x:v>
      </x:c>
      <x:c r="O299" s="5">
        <x:v>59.5</x:v>
      </x:c>
      <x:c r="P299" s="2">
        <x:v>425</x:v>
      </x:c>
      <x:c r="Q299" s="2" t="n">
        <x:f>IF(OR(J299="positive",J299="negative"),1,0)</x:f>
        <x:v>1</x:v>
      </x:c>
    </x:row>
    <x:row r="300" ht="15">
      <x:c r="A300" s="2" t="s">
        <x:v>37</x:v>
      </x:c>
      <x:c r="B300" s="2" t="s">
        <x:v>159</x:v>
      </x:c>
      <x:c r="C300" s="2">
        <x:v>5</x:v>
      </x:c>
      <x:c r="D300" s="2" t="s">
        <x:v>18</x:v>
      </x:c>
      <x:c r="E300" s="2" t="s">
        <x:v>303</x:v>
      </x:c>
      <x:c r="F300" s="7">
        <x:v>2.5010000000000001E-2</x:v>
      </x:c>
      <x:c r="G300" s="2" t="s">
        <x:v>304</x:v>
      </x:c>
      <x:c r="H300" s="8">
        <x:v>7.4999999999999997E-2</x:v>
      </x:c>
      <x:c r="I300" s="9" t="n">
        <x:f t="shared" si="4">IFERROR(ABS(F300)/H300,"")</x:f>
        <x:v>0.3334666666666667</x:v>
      </x:c>
      <x:c r="J300" s="2" t="s">
        <x:v>298</x:v>
      </x:c>
      <x:c r="K300" s="8">
        <x:v>0.93869999999999998</x:v>
      </x:c>
      <x:c r="L300" s="2" t="s">
        <x:v>299</x:v>
      </x:c>
      <x:c r="M300" s="2">
        <x:v>1</x:v>
      </x:c>
      <x:c r="N300" s="2" t="s">
        <x:v>79</x:v>
      </x:c>
      <x:c r="O300" s="5">
        <x:v>59.5</x:v>
      </x:c>
      <x:c r="P300" s="2">
        <x:v>425</x:v>
      </x:c>
      <x:c r="Q300" s="2" t="n">
        <x:f>IF(OR(J300="positive",J300="negative"),1,0)</x:f>
        <x:v>1</x:v>
      </x:c>
    </x:row>
    <x:row r="301" ht="15">
      <x:c r="A301" s="2" t="s">
        <x:v>37</x:v>
      </x:c>
      <x:c r="B301" s="2" t="s">
        <x:v>159</x:v>
      </x:c>
      <x:c r="C301" s="2">
        <x:v>5</x:v>
      </x:c>
      <x:c r="D301" s="2" t="s">
        <x:v>305</x:v>
      </x:c>
      <x:c r="E301" s="2" t="s">
        <x:v>306</x:v>
      </x:c>
      <x:c r="F301" s="7">
        <x:v>4.28E-3</x:v>
      </x:c>
      <x:c r="G301" s="2" t="s">
        <x:v>304</x:v>
      </x:c>
      <x:c r="H301" s="8">
        <x:v>0.3</x:v>
      </x:c>
      <x:c r="I301" s="9" t="n">
        <x:f t="shared" si="4">IFERROR(ABS(F301)/H301,"")</x:f>
        <x:v>0.014266666666666667</x:v>
      </x:c>
      <x:c r="J301" s="2" t="s">
        <x:v>298</x:v>
      </x:c>
      <x:c r="K301" s="8">
        <x:v>0.96021000000000001</x:v>
      </x:c>
      <x:c r="L301" s="2" t="s">
        <x:v>299</x:v>
      </x:c>
      <x:c r="M301" s="2">
        <x:v>1</x:v>
      </x:c>
      <x:c r="N301" s="2" t="s">
        <x:v>79</x:v>
      </x:c>
      <x:c r="O301" s="5">
        <x:v>59.5</x:v>
      </x:c>
      <x:c r="P301" s="2">
        <x:v>425</x:v>
      </x:c>
      <x:c r="Q301" s="2" t="n">
        <x:f>IF(OR(J301="positive",J301="negative"),1,0)</x:f>
        <x:v>1</x:v>
      </x:c>
    </x:row>
    <x:row r="302" ht="15">
      <x:c r="A302" s="2" t="s">
        <x:v>38</x:v>
      </x:c>
      <x:c r="B302" s="2" t="s">
        <x:v>160</x:v>
      </x:c>
      <x:c r="C302" s="2">
        <x:v>1</x:v>
      </x:c>
      <x:c r="D302" s="2" t="s">
        <x:v>295</x:v>
      </x:c>
      <x:c r="E302" s="2" t="s">
        <x:v>296</x:v>
      </x:c>
      <x:c r="F302" s="7">
        <x:v>0.40516000000000002</x:v>
      </x:c>
      <x:c r="G302" s="2" t="s">
        <x:v>297</x:v>
      </x:c>
      <x:c r="H302" s="8">
        <x:v>3.5</x:v>
      </x:c>
      <x:c r="I302" s="9" t="n">
        <x:f t="shared" si="4">IFERROR(ABS(F302)/H302,"")</x:f>
        <x:v>0.11576</x:v>
      </x:c>
      <x:c r="J302" s="2" t="s">
        <x:v>298</x:v>
      </x:c>
      <x:c r="K302" s="8">
        <x:v>0.87885999999999997</x:v>
      </x:c>
      <x:c r="L302" s="2" t="s">
        <x:v>299</x:v>
      </x:c>
      <x:c r="M302" s="2">
        <x:v>1</x:v>
      </x:c>
      <x:c r="N302" s="2" t="s">
        <x:v>79</x:v>
      </x:c>
      <x:c r="O302" s="5">
        <x:v>59.8</x:v>
      </x:c>
      <x:c r="P302" s="2">
        <x:v>438</x:v>
      </x:c>
      <x:c r="Q302" s="2" t="n">
        <x:f>IF(OR(J302="positive",J302="negative"),1,0)</x:f>
        <x:v>1</x:v>
      </x:c>
    </x:row>
    <x:row r="303" ht="15">
      <x:c r="A303" s="2" t="s">
        <x:v>38</x:v>
      </x:c>
      <x:c r="B303" s="2" t="s">
        <x:v>160</x:v>
      </x:c>
      <x:c r="C303" s="2">
        <x:v>1</x:v>
      </x:c>
      <x:c r="D303" s="2" t="s">
        <x:v>300</x:v>
      </x:c>
      <x:c r="E303" s="2" t="s">
        <x:v>301</x:v>
      </x:c>
      <x:c r="F303" s="7">
        <x:v>8.344E-2</x:v>
      </x:c>
      <x:c r="G303" s="2" t="s">
        <x:v>302</x:v>
      </x:c>
      <x:c r="H303" s="8">
        <x:v>0.45</x:v>
      </x:c>
      <x:c r="I303" s="9" t="n">
        <x:f t="shared" si="4">IFERROR(ABS(F303)/H303,"")</x:f>
        <x:v>0.1854222222222222</x:v>
      </x:c>
      <x:c r="J303" s="2" t="s">
        <x:v>298</x:v>
      </x:c>
      <x:c r="K303" s="8">
        <x:v>0.97736999999999996</x:v>
      </x:c>
      <x:c r="L303" s="2" t="s">
        <x:v>299</x:v>
      </x:c>
      <x:c r="M303" s="2">
        <x:v>1</x:v>
      </x:c>
      <x:c r="N303" s="2" t="s">
        <x:v>79</x:v>
      </x:c>
      <x:c r="O303" s="5">
        <x:v>59.8</x:v>
      </x:c>
      <x:c r="P303" s="2">
        <x:v>438</x:v>
      </x:c>
      <x:c r="Q303" s="2" t="n">
        <x:f>IF(OR(J303="positive",J303="negative"),1,0)</x:f>
        <x:v>1</x:v>
      </x:c>
    </x:row>
    <x:row r="304" ht="15">
      <x:c r="A304" s="2" t="s">
        <x:v>38</x:v>
      </x:c>
      <x:c r="B304" s="2" t="s">
        <x:v>160</x:v>
      </x:c>
      <x:c r="C304" s="2">
        <x:v>1</x:v>
      </x:c>
      <x:c r="D304" s="2" t="s">
        <x:v>18</x:v>
      </x:c>
      <x:c r="E304" s="2" t="s">
        <x:v>303</x:v>
      </x:c>
      <x:c r="F304" s="7">
        <x:v>-7.0800000000000004E-3</x:v>
      </x:c>
      <x:c r="G304" s="2" t="s">
        <x:v>304</x:v>
      </x:c>
      <x:c r="H304" s="8">
        <x:v>7.4999999999999997E-2</x:v>
      </x:c>
      <x:c r="I304" s="9" t="n">
        <x:f t="shared" si="4">IFERROR(ABS(F304)/H304,"")</x:f>
        <x:v>0.09440000000000001</x:v>
      </x:c>
      <x:c r="J304" s="2" t="s">
        <x:v>298</x:v>
      </x:c>
      <x:c r="K304" s="8">
        <x:v>0.97706999999999999</x:v>
      </x:c>
      <x:c r="L304" s="2" t="s">
        <x:v>299</x:v>
      </x:c>
      <x:c r="M304" s="2">
        <x:v>1</x:v>
      </x:c>
      <x:c r="N304" s="2" t="s">
        <x:v>79</x:v>
      </x:c>
      <x:c r="O304" s="5">
        <x:v>59.8</x:v>
      </x:c>
      <x:c r="P304" s="2">
        <x:v>438</x:v>
      </x:c>
      <x:c r="Q304" s="2" t="n">
        <x:f>IF(OR(J304="positive",J304="negative"),1,0)</x:f>
        <x:v>1</x:v>
      </x:c>
    </x:row>
    <x:row r="305" ht="15">
      <x:c r="A305" s="2" t="s">
        <x:v>38</x:v>
      </x:c>
      <x:c r="B305" s="2" t="s">
        <x:v>160</x:v>
      </x:c>
      <x:c r="C305" s="2">
        <x:v>1</x:v>
      </x:c>
      <x:c r="D305" s="2" t="s">
        <x:v>305</x:v>
      </x:c>
      <x:c r="E305" s="2" t="s">
        <x:v>306</x:v>
      </x:c>
      <x:c r="F305" s="7">
        <x:v>-1.166E-2</x:v>
      </x:c>
      <x:c r="G305" s="2" t="s">
        <x:v>304</x:v>
      </x:c>
      <x:c r="H305" s="8">
        <x:v>0.3</x:v>
      </x:c>
      <x:c r="I305" s="9" t="n">
        <x:f t="shared" si="4">IFERROR(ABS(F305)/H305,"")</x:f>
        <x:v>0.03886666666666667</x:v>
      </x:c>
      <x:c r="J305" s="2" t="s">
        <x:v>298</x:v>
      </x:c>
      <x:c r="K305" s="8">
        <x:v>0.95321</x:v>
      </x:c>
      <x:c r="L305" s="2" t="s">
        <x:v>299</x:v>
      </x:c>
      <x:c r="M305" s="2">
        <x:v>1</x:v>
      </x:c>
      <x:c r="N305" s="2" t="s">
        <x:v>79</x:v>
      </x:c>
      <x:c r="O305" s="5">
        <x:v>59.8</x:v>
      </x:c>
      <x:c r="P305" s="2">
        <x:v>438</x:v>
      </x:c>
      <x:c r="Q305" s="2" t="n">
        <x:f>IF(OR(J305="positive",J305="negative"),1,0)</x:f>
        <x:v>1</x:v>
      </x:c>
    </x:row>
    <x:row r="306" ht="15">
      <x:c r="A306" s="2" t="s">
        <x:v>38</x:v>
      </x:c>
      <x:c r="B306" s="2" t="s">
        <x:v>161</x:v>
      </x:c>
      <x:c r="C306" s="2">
        <x:v>2</x:v>
      </x:c>
      <x:c r="D306" s="2" t="s">
        <x:v>295</x:v>
      </x:c>
      <x:c r="E306" s="2" t="s">
        <x:v>296</x:v>
      </x:c>
      <x:c r="F306" s="7">
        <x:v>0.59180999999999995</x:v>
      </x:c>
      <x:c r="G306" s="2" t="s">
        <x:v>297</x:v>
      </x:c>
      <x:c r="H306" s="8">
        <x:v>3.5</x:v>
      </x:c>
      <x:c r="I306" s="9" t="n">
        <x:f t="shared" si="4">IFERROR(ABS(F306)/H306,"")</x:f>
        <x:v>0.16908857142857142</x:v>
      </x:c>
      <x:c r="J306" s="2" t="s">
        <x:v>298</x:v>
      </x:c>
      <x:c r="K306" s="8">
        <x:v>0.89742999999999995</x:v>
      </x:c>
      <x:c r="L306" s="2" t="s">
        <x:v>299</x:v>
      </x:c>
      <x:c r="M306" s="2">
        <x:v>1</x:v>
      </x:c>
      <x:c r="N306" s="2" t="s">
        <x:v>79</x:v>
      </x:c>
      <x:c r="O306" s="5">
        <x:v>60.4</x:v>
      </x:c>
      <x:c r="P306" s="2">
        <x:v>460</x:v>
      </x:c>
      <x:c r="Q306" s="2" t="n">
        <x:f>IF(OR(J306="positive",J306="negative"),1,0)</x:f>
        <x:v>1</x:v>
      </x:c>
    </x:row>
    <x:row r="307" ht="15">
      <x:c r="A307" s="2" t="s">
        <x:v>38</x:v>
      </x:c>
      <x:c r="B307" s="2" t="s">
        <x:v>161</x:v>
      </x:c>
      <x:c r="C307" s="2">
        <x:v>2</x:v>
      </x:c>
      <x:c r="D307" s="2" t="s">
        <x:v>300</x:v>
      </x:c>
      <x:c r="E307" s="2" t="s">
        <x:v>301</x:v>
      </x:c>
      <x:c r="F307" s="7">
        <x:v>9.7030000000000005E-2</x:v>
      </x:c>
      <x:c r="G307" s="2" t="s">
        <x:v>302</x:v>
      </x:c>
      <x:c r="H307" s="8">
        <x:v>0.45</x:v>
      </x:c>
      <x:c r="I307" s="9" t="n">
        <x:f t="shared" si="4">IFERROR(ABS(F307)/H307,"")</x:f>
        <x:v>0.21562222222222222</x:v>
      </x:c>
      <x:c r="J307" s="2" t="s">
        <x:v>298</x:v>
      </x:c>
      <x:c r="K307" s="8">
        <x:v>0.92125999999999997</x:v>
      </x:c>
      <x:c r="L307" s="2" t="s">
        <x:v>299</x:v>
      </x:c>
      <x:c r="M307" s="2">
        <x:v>1</x:v>
      </x:c>
      <x:c r="N307" s="2" t="s">
        <x:v>79</x:v>
      </x:c>
      <x:c r="O307" s="5">
        <x:v>60.4</x:v>
      </x:c>
      <x:c r="P307" s="2">
        <x:v>460</x:v>
      </x:c>
      <x:c r="Q307" s="2" t="n">
        <x:f>IF(OR(J307="positive",J307="negative"),1,0)</x:f>
        <x:v>1</x:v>
      </x:c>
    </x:row>
    <x:row r="308" ht="15">
      <x:c r="A308" s="2" t="s">
        <x:v>38</x:v>
      </x:c>
      <x:c r="B308" s="2" t="s">
        <x:v>161</x:v>
      </x:c>
      <x:c r="C308" s="2">
        <x:v>2</x:v>
      </x:c>
      <x:c r="D308" s="2" t="s">
        <x:v>18</x:v>
      </x:c>
      <x:c r="E308" s="2" t="s">
        <x:v>303</x:v>
      </x:c>
      <x:c r="F308" s="7">
        <x:v>-6.0899999999999999E-3</x:v>
      </x:c>
      <x:c r="G308" s="2" t="s">
        <x:v>304</x:v>
      </x:c>
      <x:c r="H308" s="8">
        <x:v>7.4999999999999997E-2</x:v>
      </x:c>
      <x:c r="I308" s="9" t="n">
        <x:f t="shared" si="4">IFERROR(ABS(F308)/H308,"")</x:f>
        <x:v>0.08120000000000001</x:v>
      </x:c>
      <x:c r="J308" s="2" t="s">
        <x:v>298</x:v>
      </x:c>
      <x:c r="K308" s="8">
        <x:v>0.93600000000000005</x:v>
      </x:c>
      <x:c r="L308" s="2" t="s">
        <x:v>299</x:v>
      </x:c>
      <x:c r="M308" s="2">
        <x:v>1</x:v>
      </x:c>
      <x:c r="N308" s="2" t="s">
        <x:v>79</x:v>
      </x:c>
      <x:c r="O308" s="5">
        <x:v>60.4</x:v>
      </x:c>
      <x:c r="P308" s="2">
        <x:v>460</x:v>
      </x:c>
      <x:c r="Q308" s="2" t="n">
        <x:f>IF(OR(J308="positive",J308="negative"),1,0)</x:f>
        <x:v>1</x:v>
      </x:c>
    </x:row>
    <x:row r="309" ht="15">
      <x:c r="A309" s="2" t="s">
        <x:v>38</x:v>
      </x:c>
      <x:c r="B309" s="2" t="s">
        <x:v>161</x:v>
      </x:c>
      <x:c r="C309" s="2">
        <x:v>2</x:v>
      </x:c>
      <x:c r="D309" s="2" t="s">
        <x:v>305</x:v>
      </x:c>
      <x:c r="E309" s="2" t="s">
        <x:v>306</x:v>
      </x:c>
      <x:c r="F309" s="7">
        <x:v>-3.637E-2</x:v>
      </x:c>
      <x:c r="G309" s="2" t="s">
        <x:v>304</x:v>
      </x:c>
      <x:c r="H309" s="8">
        <x:v>0.3</x:v>
      </x:c>
      <x:c r="I309" s="9" t="n">
        <x:f t="shared" si="4">IFERROR(ABS(F309)/H309,"")</x:f>
        <x:v>0.12123333333333333</x:v>
      </x:c>
      <x:c r="J309" s="2" t="s">
        <x:v>298</x:v>
      </x:c>
      <x:c r="K309" s="8">
        <x:v>0.95182</x:v>
      </x:c>
      <x:c r="L309" s="2" t="s">
        <x:v>299</x:v>
      </x:c>
      <x:c r="M309" s="2">
        <x:v>1</x:v>
      </x:c>
      <x:c r="N309" s="2" t="s">
        <x:v>79</x:v>
      </x:c>
      <x:c r="O309" s="5">
        <x:v>60.4</x:v>
      </x:c>
      <x:c r="P309" s="2">
        <x:v>460</x:v>
      </x:c>
      <x:c r="Q309" s="2" t="n">
        <x:f>IF(OR(J309="positive",J309="negative"),1,0)</x:f>
        <x:v>1</x:v>
      </x:c>
    </x:row>
    <x:row r="310" ht="15">
      <x:c r="A310" s="2" t="s">
        <x:v>38</x:v>
      </x:c>
      <x:c r="B310" s="2" t="s">
        <x:v>162</x:v>
      </x:c>
      <x:c r="C310" s="2">
        <x:v>3</x:v>
      </x:c>
      <x:c r="D310" s="2" t="s">
        <x:v>295</x:v>
      </x:c>
      <x:c r="E310" s="2" t="s">
        <x:v>296</x:v>
      </x:c>
      <x:c r="F310" s="7">
        <x:v>0.33273999999999998</x:v>
      </x:c>
      <x:c r="G310" s="2" t="s">
        <x:v>297</x:v>
      </x:c>
      <x:c r="H310" s="8">
        <x:v>3.5</x:v>
      </x:c>
      <x:c r="I310" s="9" t="n">
        <x:f t="shared" si="4">IFERROR(ABS(F310)/H310,"")</x:f>
        <x:v>0.09506857142857142</x:v>
      </x:c>
      <x:c r="J310" s="2" t="s">
        <x:v>298</x:v>
      </x:c>
      <x:c r="K310" s="8">
        <x:v>0.99</x:v>
      </x:c>
      <x:c r="L310" s="2" t="s">
        <x:v>299</x:v>
      </x:c>
      <x:c r="M310" s="2">
        <x:v>1</x:v>
      </x:c>
      <x:c r="N310" s="2" t="s">
        <x:v>79</x:v>
      </x:c>
      <x:c r="O310" s="5">
        <x:v>59.2</x:v>
      </x:c>
      <x:c r="P310" s="2">
        <x:v>490</x:v>
      </x:c>
      <x:c r="Q310" s="2" t="n">
        <x:f>IF(OR(J310="positive",J310="negative"),1,0)</x:f>
        <x:v>1</x:v>
      </x:c>
    </x:row>
    <x:row r="311" ht="15">
      <x:c r="A311" s="2" t="s">
        <x:v>38</x:v>
      </x:c>
      <x:c r="B311" s="2" t="s">
        <x:v>162</x:v>
      </x:c>
      <x:c r="C311" s="2">
        <x:v>3</x:v>
      </x:c>
      <x:c r="D311" s="2" t="s">
        <x:v>300</x:v>
      </x:c>
      <x:c r="E311" s="2" t="s">
        <x:v>301</x:v>
      </x:c>
      <x:c r="F311" s="7">
        <x:v>8.0869999999999997E-2</x:v>
      </x:c>
      <x:c r="G311" s="2" t="s">
        <x:v>302</x:v>
      </x:c>
      <x:c r="H311" s="8">
        <x:v>0.45</x:v>
      </x:c>
      <x:c r="I311" s="9" t="n">
        <x:f t="shared" si="4">IFERROR(ABS(F311)/H311,"")</x:f>
        <x:v>0.1797111111111111</x:v>
      </x:c>
      <x:c r="J311" s="2" t="s">
        <x:v>298</x:v>
      </x:c>
      <x:c r="K311" s="8">
        <x:v>0.93945999999999996</x:v>
      </x:c>
      <x:c r="L311" s="2" t="s">
        <x:v>299</x:v>
      </x:c>
      <x:c r="M311" s="2">
        <x:v>1</x:v>
      </x:c>
      <x:c r="N311" s="2" t="s">
        <x:v>79</x:v>
      </x:c>
      <x:c r="O311" s="5">
        <x:v>59.2</x:v>
      </x:c>
      <x:c r="P311" s="2">
        <x:v>490</x:v>
      </x:c>
      <x:c r="Q311" s="2" t="n">
        <x:f>IF(OR(J311="positive",J311="negative"),1,0)</x:f>
        <x:v>1</x:v>
      </x:c>
    </x:row>
    <x:row r="312" ht="15">
      <x:c r="A312" s="2" t="s">
        <x:v>38</x:v>
      </x:c>
      <x:c r="B312" s="2" t="s">
        <x:v>162</x:v>
      </x:c>
      <x:c r="C312" s="2">
        <x:v>3</x:v>
      </x:c>
      <x:c r="D312" s="2" t="s">
        <x:v>18</x:v>
      </x:c>
      <x:c r="E312" s="2" t="s">
        <x:v>303</x:v>
      </x:c>
      <x:c r="F312" s="7">
        <x:v>-1.034E-2</x:v>
      </x:c>
      <x:c r="G312" s="2" t="s">
        <x:v>304</x:v>
      </x:c>
      <x:c r="H312" s="8">
        <x:v>7.4999999999999997E-2</x:v>
      </x:c>
      <x:c r="I312" s="9" t="n">
        <x:f t="shared" si="4">IFERROR(ABS(F312)/H312,"")</x:f>
        <x:v>0.13786666666666667</x:v>
      </x:c>
      <x:c r="J312" s="2" t="s">
        <x:v>298</x:v>
      </x:c>
      <x:c r="K312" s="8">
        <x:v>0.95382</x:v>
      </x:c>
      <x:c r="L312" s="2" t="s">
        <x:v>299</x:v>
      </x:c>
      <x:c r="M312" s="2">
        <x:v>1</x:v>
      </x:c>
      <x:c r="N312" s="2" t="s">
        <x:v>79</x:v>
      </x:c>
      <x:c r="O312" s="5">
        <x:v>59.2</x:v>
      </x:c>
      <x:c r="P312" s="2">
        <x:v>490</x:v>
      </x:c>
      <x:c r="Q312" s="2" t="n">
        <x:f>IF(OR(J312="positive",J312="negative"),1,0)</x:f>
        <x:v>1</x:v>
      </x:c>
    </x:row>
    <x:row r="313" ht="15">
      <x:c r="A313" s="2" t="s">
        <x:v>38</x:v>
      </x:c>
      <x:c r="B313" s="2" t="s">
        <x:v>162</x:v>
      </x:c>
      <x:c r="C313" s="2">
        <x:v>3</x:v>
      </x:c>
      <x:c r="D313" s="2" t="s">
        <x:v>305</x:v>
      </x:c>
      <x:c r="E313" s="2" t="s">
        <x:v>306</x:v>
      </x:c>
      <x:c r="F313" s="7">
        <x:v>-2.5829999999999999E-2</x:v>
      </x:c>
      <x:c r="G313" s="2" t="s">
        <x:v>304</x:v>
      </x:c>
      <x:c r="H313" s="8">
        <x:v>0.3</x:v>
      </x:c>
      <x:c r="I313" s="9" t="n">
        <x:f t="shared" si="4">IFERROR(ABS(F313)/H313,"")</x:f>
        <x:v>0.0861</x:v>
      </x:c>
      <x:c r="J313" s="2" t="s">
        <x:v>298</x:v>
      </x:c>
      <x:c r="K313" s="8">
        <x:v>0.96292999999999995</x:v>
      </x:c>
      <x:c r="L313" s="2" t="s">
        <x:v>299</x:v>
      </x:c>
      <x:c r="M313" s="2">
        <x:v>1</x:v>
      </x:c>
      <x:c r="N313" s="2" t="s">
        <x:v>79</x:v>
      </x:c>
      <x:c r="O313" s="5">
        <x:v>59.2</x:v>
      </x:c>
      <x:c r="P313" s="2">
        <x:v>490</x:v>
      </x:c>
      <x:c r="Q313" s="2" t="n">
        <x:f>IF(OR(J313="positive",J313="negative"),1,0)</x:f>
        <x:v>1</x:v>
      </x:c>
    </x:row>
    <x:row r="314" ht="15">
      <x:c r="A314" s="2" t="s">
        <x:v>38</x:v>
      </x:c>
      <x:c r="B314" s="2" t="s">
        <x:v>163</x:v>
      </x:c>
      <x:c r="C314" s="2">
        <x:v>4</x:v>
      </x:c>
      <x:c r="D314" s="2" t="s">
        <x:v>295</x:v>
      </x:c>
      <x:c r="E314" s="2" t="s">
        <x:v>296</x:v>
      </x:c>
      <x:c r="F314" s="7">
        <x:v>9.2829999999999996E-2</x:v>
      </x:c>
      <x:c r="G314" s="2" t="s">
        <x:v>297</x:v>
      </x:c>
      <x:c r="H314" s="8">
        <x:v>3.5</x:v>
      </x:c>
      <x:c r="I314" s="9" t="n">
        <x:f t="shared" si="4">IFERROR(ABS(F314)/H314,"")</x:f>
        <x:v>0.026522857142857143</x:v>
      </x:c>
      <x:c r="J314" s="2" t="s">
        <x:v>298</x:v>
      </x:c>
      <x:c r="K314" s="8">
        <x:v>0.96414</x:v>
      </x:c>
      <x:c r="L314" s="2" t="s">
        <x:v>299</x:v>
      </x:c>
      <x:c r="M314" s="2">
        <x:v>1</x:v>
      </x:c>
      <x:c r="N314" s="2" t="s">
        <x:v>79</x:v>
      </x:c>
      <x:c r="O314" s="5">
        <x:v>60.9</x:v>
      </x:c>
      <x:c r="P314" s="2">
        <x:v>427</x:v>
      </x:c>
      <x:c r="Q314" s="2" t="n">
        <x:f>IF(OR(J314="positive",J314="negative"),1,0)</x:f>
        <x:v>1</x:v>
      </x:c>
    </x:row>
    <x:row r="315" ht="15">
      <x:c r="A315" s="2" t="s">
        <x:v>38</x:v>
      </x:c>
      <x:c r="B315" s="2" t="s">
        <x:v>163</x:v>
      </x:c>
      <x:c r="C315" s="2">
        <x:v>4</x:v>
      </x:c>
      <x:c r="D315" s="2" t="s">
        <x:v>300</x:v>
      </x:c>
      <x:c r="E315" s="2" t="s">
        <x:v>301</x:v>
      </x:c>
      <x:c r="F315" s="7">
        <x:v>9.1139999999999999E-2</x:v>
      </x:c>
      <x:c r="G315" s="2" t="s">
        <x:v>302</x:v>
      </x:c>
      <x:c r="H315" s="8">
        <x:v>0.45</x:v>
      </x:c>
      <x:c r="I315" s="9" t="n">
        <x:f t="shared" si="4">IFERROR(ABS(F315)/H315,"")</x:f>
        <x:v>0.20253333333333332</x:v>
      </x:c>
      <x:c r="J315" s="2" t="s">
        <x:v>298</x:v>
      </x:c>
      <x:c r="K315" s="8">
        <x:v>0.92974999999999997</x:v>
      </x:c>
      <x:c r="L315" s="2" t="s">
        <x:v>299</x:v>
      </x:c>
      <x:c r="M315" s="2">
        <x:v>1</x:v>
      </x:c>
      <x:c r="N315" s="2" t="s">
        <x:v>79</x:v>
      </x:c>
      <x:c r="O315" s="5">
        <x:v>60.9</x:v>
      </x:c>
      <x:c r="P315" s="2">
        <x:v>427</x:v>
      </x:c>
      <x:c r="Q315" s="2" t="n">
        <x:f>IF(OR(J315="positive",J315="negative"),1,0)</x:f>
        <x:v>1</x:v>
      </x:c>
    </x:row>
    <x:row r="316" ht="15">
      <x:c r="A316" s="2" t="s">
        <x:v>38</x:v>
      </x:c>
      <x:c r="B316" s="2" t="s">
        <x:v>163</x:v>
      </x:c>
      <x:c r="C316" s="2">
        <x:v>4</x:v>
      </x:c>
      <x:c r="D316" s="2" t="s">
        <x:v>18</x:v>
      </x:c>
      <x:c r="E316" s="2" t="s">
        <x:v>303</x:v>
      </x:c>
      <x:c r="F316" s="7">
        <x:v>3.7000000000000002E-3</x:v>
      </x:c>
      <x:c r="G316" s="2" t="s">
        <x:v>304</x:v>
      </x:c>
      <x:c r="H316" s="8">
        <x:v>7.4999999999999997E-2</x:v>
      </x:c>
      <x:c r="I316" s="9" t="n">
        <x:f t="shared" si="4">IFERROR(ABS(F316)/H316,"")</x:f>
        <x:v>0.04933333333333334</x:v>
      </x:c>
      <x:c r="J316" s="2" t="s">
        <x:v>298</x:v>
      </x:c>
      <x:c r="K316" s="8">
        <x:v>0.93752999999999997</x:v>
      </x:c>
      <x:c r="L316" s="2" t="s">
        <x:v>299</x:v>
      </x:c>
      <x:c r="M316" s="2">
        <x:v>1</x:v>
      </x:c>
      <x:c r="N316" s="2" t="s">
        <x:v>79</x:v>
      </x:c>
      <x:c r="O316" s="5">
        <x:v>60.9</x:v>
      </x:c>
      <x:c r="P316" s="2">
        <x:v>427</x:v>
      </x:c>
      <x:c r="Q316" s="2" t="n">
        <x:f>IF(OR(J316="positive",J316="negative"),1,0)</x:f>
        <x:v>1</x:v>
      </x:c>
    </x:row>
    <x:row r="317" ht="15">
      <x:c r="A317" s="2" t="s">
        <x:v>38</x:v>
      </x:c>
      <x:c r="B317" s="2" t="s">
        <x:v>163</x:v>
      </x:c>
      <x:c r="C317" s="2">
        <x:v>4</x:v>
      </x:c>
      <x:c r="D317" s="2" t="s">
        <x:v>305</x:v>
      </x:c>
      <x:c r="E317" s="2" t="s">
        <x:v>306</x:v>
      </x:c>
      <x:c r="F317" s="7">
        <x:v>-1.8780000000000002E-2</x:v>
      </x:c>
      <x:c r="G317" s="2" t="s">
        <x:v>304</x:v>
      </x:c>
      <x:c r="H317" s="8">
        <x:v>0.3</x:v>
      </x:c>
      <x:c r="I317" s="9" t="n">
        <x:f t="shared" si="4">IFERROR(ABS(F317)/H317,"")</x:f>
        <x:v>0.0626</x:v>
      </x:c>
      <x:c r="J317" s="2" t="s">
        <x:v>298</x:v>
      </x:c>
      <x:c r="K317" s="8">
        <x:v>0.95616000000000001</x:v>
      </x:c>
      <x:c r="L317" s="2" t="s">
        <x:v>299</x:v>
      </x:c>
      <x:c r="M317" s="2">
        <x:v>1</x:v>
      </x:c>
      <x:c r="N317" s="2" t="s">
        <x:v>79</x:v>
      </x:c>
      <x:c r="O317" s="5">
        <x:v>60.9</x:v>
      </x:c>
      <x:c r="P317" s="2">
        <x:v>427</x:v>
      </x:c>
      <x:c r="Q317" s="2" t="n">
        <x:f>IF(OR(J317="positive",J317="negative"),1,0)</x:f>
        <x:v>1</x:v>
      </x:c>
    </x:row>
    <x:row r="318" ht="15">
      <x:c r="A318" s="2" t="s">
        <x:v>38</x:v>
      </x:c>
      <x:c r="B318" s="2" t="s">
        <x:v>164</x:v>
      </x:c>
      <x:c r="C318" s="2">
        <x:v>5</x:v>
      </x:c>
      <x:c r="D318" s="2" t="s">
        <x:v>295</x:v>
      </x:c>
      <x:c r="E318" s="2" t="s">
        <x:v>296</x:v>
      </x:c>
      <x:c r="F318" s="7">
        <x:v>0.41904000000000002</x:v>
      </x:c>
      <x:c r="G318" s="2" t="s">
        <x:v>297</x:v>
      </x:c>
      <x:c r="H318" s="8">
        <x:v>3.5</x:v>
      </x:c>
      <x:c r="I318" s="9" t="n">
        <x:f t="shared" si="4">IFERROR(ABS(F318)/H318,"")</x:f>
        <x:v>0.1197257142857143</x:v>
      </x:c>
      <x:c r="J318" s="2" t="s">
        <x:v>298</x:v>
      </x:c>
      <x:c r="K318" s="8">
        <x:v>0.96541999999999994</x:v>
      </x:c>
      <x:c r="L318" s="2" t="s">
        <x:v>299</x:v>
      </x:c>
      <x:c r="M318" s="2">
        <x:v>1</x:v>
      </x:c>
      <x:c r="N318" s="2" t="s">
        <x:v>79</x:v>
      </x:c>
      <x:c r="O318" s="5">
        <x:v>55.2</x:v>
      </x:c>
      <x:c r="P318" s="2">
        <x:v>387</x:v>
      </x:c>
      <x:c r="Q318" s="2" t="n">
        <x:f>IF(OR(J318="positive",J318="negative"),1,0)</x:f>
        <x:v>1</x:v>
      </x:c>
    </x:row>
    <x:row r="319" ht="15">
      <x:c r="A319" s="2" t="s">
        <x:v>38</x:v>
      </x:c>
      <x:c r="B319" s="2" t="s">
        <x:v>164</x:v>
      </x:c>
      <x:c r="C319" s="2">
        <x:v>5</x:v>
      </x:c>
      <x:c r="D319" s="2" t="s">
        <x:v>300</x:v>
      </x:c>
      <x:c r="E319" s="2" t="s">
        <x:v>301</x:v>
      </x:c>
      <x:c r="F319" s="7">
        <x:v>8.5989999999999997E-2</x:v>
      </x:c>
      <x:c r="G319" s="2" t="s">
        <x:v>302</x:v>
      </x:c>
      <x:c r="H319" s="8">
        <x:v>0.45</x:v>
      </x:c>
      <x:c r="I319" s="9" t="n">
        <x:f t="shared" si="4">IFERROR(ABS(F319)/H319,"")</x:f>
        <x:v>0.19108888888888886</x:v>
      </x:c>
      <x:c r="J319" s="2" t="s">
        <x:v>298</x:v>
      </x:c>
      <x:c r="K319" s="8">
        <x:v>0.94094999999999995</x:v>
      </x:c>
      <x:c r="L319" s="2" t="s">
        <x:v>299</x:v>
      </x:c>
      <x:c r="M319" s="2">
        <x:v>1</x:v>
      </x:c>
      <x:c r="N319" s="2" t="s">
        <x:v>79</x:v>
      </x:c>
      <x:c r="O319" s="5">
        <x:v>55.2</x:v>
      </x:c>
      <x:c r="P319" s="2">
        <x:v>387</x:v>
      </x:c>
      <x:c r="Q319" s="2" t="n">
        <x:f>IF(OR(J319="positive",J319="negative"),1,0)</x:f>
        <x:v>1</x:v>
      </x:c>
    </x:row>
    <x:row r="320" ht="15">
      <x:c r="A320" s="2" t="s">
        <x:v>38</x:v>
      </x:c>
      <x:c r="B320" s="2" t="s">
        <x:v>164</x:v>
      </x:c>
      <x:c r="C320" s="2">
        <x:v>5</x:v>
      </x:c>
      <x:c r="D320" s="2" t="s">
        <x:v>18</x:v>
      </x:c>
      <x:c r="E320" s="2" t="s">
        <x:v>303</x:v>
      </x:c>
      <x:c r="F320" s="7">
        <x:v>-3.5999999999999999E-3</x:v>
      </x:c>
      <x:c r="G320" s="2" t="s">
        <x:v>304</x:v>
      </x:c>
      <x:c r="H320" s="8">
        <x:v>7.4999999999999997E-2</x:v>
      </x:c>
      <x:c r="I320" s="9" t="n">
        <x:f t="shared" si="4">IFERROR(ABS(F320)/H320,"")</x:f>
        <x:v>0.048</x:v>
      </x:c>
      <x:c r="J320" s="2" t="s">
        <x:v>298</x:v>
      </x:c>
      <x:c r="K320" s="8">
        <x:v>0.94582999999999995</x:v>
      </x:c>
      <x:c r="L320" s="2" t="s">
        <x:v>299</x:v>
      </x:c>
      <x:c r="M320" s="2">
        <x:v>1</x:v>
      </x:c>
      <x:c r="N320" s="2" t="s">
        <x:v>79</x:v>
      </x:c>
      <x:c r="O320" s="5">
        <x:v>55.2</x:v>
      </x:c>
      <x:c r="P320" s="2">
        <x:v>387</x:v>
      </x:c>
      <x:c r="Q320" s="2" t="n">
        <x:f>IF(OR(J320="positive",J320="negative"),1,0)</x:f>
        <x:v>1</x:v>
      </x:c>
    </x:row>
    <x:row r="321" ht="15">
      <x:c r="A321" s="2" t="s">
        <x:v>38</x:v>
      </x:c>
      <x:c r="B321" s="2" t="s">
        <x:v>164</x:v>
      </x:c>
      <x:c r="C321" s="2">
        <x:v>5</x:v>
      </x:c>
      <x:c r="D321" s="2" t="s">
        <x:v>305</x:v>
      </x:c>
      <x:c r="E321" s="2" t="s">
        <x:v>306</x:v>
      </x:c>
      <x:c r="F321" s="7">
        <x:v>-4.0250000000000001E-2</x:v>
      </x:c>
      <x:c r="G321" s="2" t="s">
        <x:v>304</x:v>
      </x:c>
      <x:c r="H321" s="8">
        <x:v>0.3</x:v>
      </x:c>
      <x:c r="I321" s="9" t="n">
        <x:f t="shared" si="4">IFERROR(ABS(F321)/H321,"")</x:f>
        <x:v>0.13416666666666668</x:v>
      </x:c>
      <x:c r="J321" s="2" t="s">
        <x:v>298</x:v>
      </x:c>
      <x:c r="K321" s="8">
        <x:v>0.92764000000000002</x:v>
      </x:c>
      <x:c r="L321" s="2" t="s">
        <x:v>299</x:v>
      </x:c>
      <x:c r="M321" s="2">
        <x:v>1</x:v>
      </x:c>
      <x:c r="N321" s="2" t="s">
        <x:v>79</x:v>
      </x:c>
      <x:c r="O321" s="5">
        <x:v>55.2</x:v>
      </x:c>
      <x:c r="P321" s="2">
        <x:v>387</x:v>
      </x:c>
      <x:c r="Q321" s="2" t="n">
        <x:f>IF(OR(J321="positive",J321="negative"),1,0)</x:f>
        <x:v>1</x:v>
      </x:c>
    </x:row>
    <x:row r="322" ht="15">
      <x:c r="A322" s="2" t="s">
        <x:v>39</x:v>
      </x:c>
      <x:c r="B322" s="2" t="s">
        <x:v>165</x:v>
      </x:c>
      <x:c r="C322" s="2">
        <x:v>1</x:v>
      </x:c>
      <x:c r="D322" s="2" t="s">
        <x:v>295</x:v>
      </x:c>
      <x:c r="E322" s="2" t="s">
        <x:v>296</x:v>
      </x:c>
      <x:c r="F322" s="7">
        <x:v>0.83160000000000001</x:v>
      </x:c>
      <x:c r="G322" s="2" t="s">
        <x:v>297</x:v>
      </x:c>
      <x:c r="H322" s="8">
        <x:v>3.5</x:v>
      </x:c>
      <x:c r="I322" s="9" t="n">
        <x:f t="shared" ref="I322:I385" si="5">IFERROR(ABS(F322)/H322,"")</x:f>
        <x:v>0.2376</x:v>
      </x:c>
      <x:c r="J322" s="2" t="s">
        <x:v>298</x:v>
      </x:c>
      <x:c r="K322" s="8">
        <x:v>0.8931</x:v>
      </x:c>
      <x:c r="L322" s="2" t="s">
        <x:v>299</x:v>
      </x:c>
      <x:c r="M322" s="2">
        <x:v>1</x:v>
      </x:c>
      <x:c r="N322" s="2" t="s">
        <x:v>79</x:v>
      </x:c>
      <x:c r="O322" s="5">
        <x:v>63.3</x:v>
      </x:c>
      <x:c r="P322" s="2">
        <x:v>445</x:v>
      </x:c>
      <x:c r="Q322" s="2" t="n">
        <x:f>IF(OR(J322="positive",J322="negative"),1,0)</x:f>
        <x:v>1</x:v>
      </x:c>
    </x:row>
    <x:row r="323" ht="15">
      <x:c r="A323" s="2" t="s">
        <x:v>39</x:v>
      </x:c>
      <x:c r="B323" s="2" t="s">
        <x:v>165</x:v>
      </x:c>
      <x:c r="C323" s="2">
        <x:v>1</x:v>
      </x:c>
      <x:c r="D323" s="2" t="s">
        <x:v>300</x:v>
      </x:c>
      <x:c r="E323" s="2" t="s">
        <x:v>301</x:v>
      </x:c>
      <x:c r="F323" s="7">
        <x:v>7.689E-2</x:v>
      </x:c>
      <x:c r="G323" s="2" t="s">
        <x:v>302</x:v>
      </x:c>
      <x:c r="H323" s="8">
        <x:v>0.45</x:v>
      </x:c>
      <x:c r="I323" s="9" t="n">
        <x:f t="shared" si="5">IFERROR(ABS(F323)/H323,"")</x:f>
        <x:v>0.17086666666666667</x:v>
      </x:c>
      <x:c r="J323" s="2" t="s">
        <x:v>298</x:v>
      </x:c>
      <x:c r="K323" s="8">
        <x:v>0.97977000000000003</x:v>
      </x:c>
      <x:c r="L323" s="2" t="s">
        <x:v>299</x:v>
      </x:c>
      <x:c r="M323" s="2">
        <x:v>1</x:v>
      </x:c>
      <x:c r="N323" s="2" t="s">
        <x:v>79</x:v>
      </x:c>
      <x:c r="O323" s="5">
        <x:v>63.3</x:v>
      </x:c>
      <x:c r="P323" s="2">
        <x:v>445</x:v>
      </x:c>
      <x:c r="Q323" s="2" t="n">
        <x:f>IF(OR(J323="positive",J323="negative"),1,0)</x:f>
        <x:v>1</x:v>
      </x:c>
    </x:row>
    <x:row r="324" ht="15">
      <x:c r="A324" s="2" t="s">
        <x:v>39</x:v>
      </x:c>
      <x:c r="B324" s="2" t="s">
        <x:v>165</x:v>
      </x:c>
      <x:c r="C324" s="2">
        <x:v>1</x:v>
      </x:c>
      <x:c r="D324" s="2" t="s">
        <x:v>18</x:v>
      </x:c>
      <x:c r="E324" s="2" t="s">
        <x:v>303</x:v>
      </x:c>
      <x:c r="F324" s="7">
        <x:v>-6.1000000000000004E-3</x:v>
      </x:c>
      <x:c r="G324" s="2" t="s">
        <x:v>304</x:v>
      </x:c>
      <x:c r="H324" s="8">
        <x:v>7.4999999999999997E-2</x:v>
      </x:c>
      <x:c r="I324" s="9" t="n">
        <x:f t="shared" si="5">IFERROR(ABS(F324)/H324,"")</x:f>
        <x:v>0.08133333333333334</x:v>
      </x:c>
      <x:c r="J324" s="2" t="s">
        <x:v>298</x:v>
      </x:c>
      <x:c r="K324" s="8">
        <x:v>0.95965</x:v>
      </x:c>
      <x:c r="L324" s="2" t="s">
        <x:v>299</x:v>
      </x:c>
      <x:c r="M324" s="2">
        <x:v>1</x:v>
      </x:c>
      <x:c r="N324" s="2" t="s">
        <x:v>79</x:v>
      </x:c>
      <x:c r="O324" s="5">
        <x:v>63.3</x:v>
      </x:c>
      <x:c r="P324" s="2">
        <x:v>445</x:v>
      </x:c>
      <x:c r="Q324" s="2" t="n">
        <x:f>IF(OR(J324="positive",J324="negative"),1,0)</x:f>
        <x:v>1</x:v>
      </x:c>
    </x:row>
    <x:row r="325" ht="15">
      <x:c r="A325" s="2" t="s">
        <x:v>39</x:v>
      </x:c>
      <x:c r="B325" s="2" t="s">
        <x:v>165</x:v>
      </x:c>
      <x:c r="C325" s="2">
        <x:v>1</x:v>
      </x:c>
      <x:c r="D325" s="2" t="s">
        <x:v>305</x:v>
      </x:c>
      <x:c r="E325" s="2" t="s">
        <x:v>306</x:v>
      </x:c>
      <x:c r="F325" s="7">
        <x:v>8.0119999999999997E-2</x:v>
      </x:c>
      <x:c r="G325" s="2" t="s">
        <x:v>304</x:v>
      </x:c>
      <x:c r="H325" s="8">
        <x:v>0.3</x:v>
      </x:c>
      <x:c r="I325" s="9" t="n">
        <x:f t="shared" si="5">IFERROR(ABS(F325)/H325,"")</x:f>
        <x:v>0.2670666666666667</x:v>
      </x:c>
      <x:c r="J325" s="2" t="s">
        <x:v>298</x:v>
      </x:c>
      <x:c r="K325" s="8">
        <x:v>0.94849000000000006</x:v>
      </x:c>
      <x:c r="L325" s="2" t="s">
        <x:v>299</x:v>
      </x:c>
      <x:c r="M325" s="2">
        <x:v>1</x:v>
      </x:c>
      <x:c r="N325" s="2" t="s">
        <x:v>79</x:v>
      </x:c>
      <x:c r="O325" s="5">
        <x:v>63.3</x:v>
      </x:c>
      <x:c r="P325" s="2">
        <x:v>445</x:v>
      </x:c>
      <x:c r="Q325" s="2" t="n">
        <x:f>IF(OR(J325="positive",J325="negative"),1,0)</x:f>
        <x:v>1</x:v>
      </x:c>
    </x:row>
    <x:row r="326" ht="15">
      <x:c r="A326" s="2" t="s">
        <x:v>39</x:v>
      </x:c>
      <x:c r="B326" s="2" t="s">
        <x:v>166</x:v>
      </x:c>
      <x:c r="C326" s="2">
        <x:v>2</x:v>
      </x:c>
      <x:c r="D326" s="2" t="s">
        <x:v>295</x:v>
      </x:c>
      <x:c r="E326" s="2" t="s">
        <x:v>296</x:v>
      </x:c>
      <x:c r="F326" s="7">
        <x:v>0.71540000000000004</x:v>
      </x:c>
      <x:c r="G326" s="2" t="s">
        <x:v>297</x:v>
      </x:c>
      <x:c r="H326" s="8">
        <x:v>3.5</x:v>
      </x:c>
      <x:c r="I326" s="9" t="n">
        <x:f t="shared" si="5">IFERROR(ABS(F326)/H326,"")</x:f>
        <x:v>0.2044</x:v>
      </x:c>
      <x:c r="J326" s="2" t="s">
        <x:v>298</x:v>
      </x:c>
      <x:c r="K326" s="8">
        <x:v>0.94206000000000001</x:v>
      </x:c>
      <x:c r="L326" s="2" t="s">
        <x:v>299</x:v>
      </x:c>
      <x:c r="M326" s="2">
        <x:v>1</x:v>
      </x:c>
      <x:c r="N326" s="2" t="s">
        <x:v>79</x:v>
      </x:c>
      <x:c r="O326" s="5">
        <x:v>52</x:v>
      </x:c>
      <x:c r="P326" s="2">
        <x:v>399</x:v>
      </x:c>
      <x:c r="Q326" s="2" t="n">
        <x:f>IF(OR(J326="positive",J326="negative"),1,0)</x:f>
        <x:v>1</x:v>
      </x:c>
    </x:row>
    <x:row r="327" ht="15">
      <x:c r="A327" s="2" t="s">
        <x:v>39</x:v>
      </x:c>
      <x:c r="B327" s="2" t="s">
        <x:v>166</x:v>
      </x:c>
      <x:c r="C327" s="2">
        <x:v>2</x:v>
      </x:c>
      <x:c r="D327" s="2" t="s">
        <x:v>300</x:v>
      </x:c>
      <x:c r="E327" s="2" t="s">
        <x:v>301</x:v>
      </x:c>
      <x:c r="F327" s="7">
        <x:v>9.6079999999999999E-2</x:v>
      </x:c>
      <x:c r="G327" s="2" t="s">
        <x:v>302</x:v>
      </x:c>
      <x:c r="H327" s="8">
        <x:v>0.45</x:v>
      </x:c>
      <x:c r="I327" s="9" t="n">
        <x:f t="shared" si="5">IFERROR(ABS(F327)/H327,"")</x:f>
        <x:v>0.2135111111111111</x:v>
      </x:c>
      <x:c r="J327" s="2" t="s">
        <x:v>307</x:v>
      </x:c>
      <x:c r="K327" s="8">
        <x:v>0.49342999999999998</x:v>
      </x:c>
      <x:c r="L327" s="2" t="s">
        <x:v>312</x:v>
      </x:c>
      <x:c r="M327" s="2">
        <x:v>1</x:v>
      </x:c>
      <x:c r="N327" s="2" t="s">
        <x:v>79</x:v>
      </x:c>
      <x:c r="O327" s="5">
        <x:v>52</x:v>
      </x:c>
      <x:c r="P327" s="2">
        <x:v>399</x:v>
      </x:c>
      <x:c r="Q327" s="2" t="n">
        <x:f>IF(OR(J327="positive",J327="negative"),1,0)</x:f>
        <x:v>0</x:v>
      </x:c>
    </x:row>
    <x:row r="328" ht="15">
      <x:c r="A328" s="2" t="s">
        <x:v>39</x:v>
      </x:c>
      <x:c r="B328" s="2" t="s">
        <x:v>166</x:v>
      </x:c>
      <x:c r="C328" s="2">
        <x:v>2</x:v>
      </x:c>
      <x:c r="D328" s="2" t="s">
        <x:v>18</x:v>
      </x:c>
      <x:c r="E328" s="2" t="s">
        <x:v>303</x:v>
      </x:c>
      <x:c r="F328" s="7">
        <x:v>-1.268E-2</x:v>
      </x:c>
      <x:c r="G328" s="2" t="s">
        <x:v>304</x:v>
      </x:c>
      <x:c r="H328" s="8">
        <x:v>7.4999999999999997E-2</x:v>
      </x:c>
      <x:c r="I328" s="9" t="n">
        <x:f t="shared" si="5">IFERROR(ABS(F328)/H328,"")</x:f>
        <x:v>0.16906666666666667</x:v>
      </x:c>
      <x:c r="J328" s="2" t="s">
        <x:v>298</x:v>
      </x:c>
      <x:c r="K328" s="8">
        <x:v>0.96560000000000001</x:v>
      </x:c>
      <x:c r="L328" s="2" t="s">
        <x:v>299</x:v>
      </x:c>
      <x:c r="M328" s="2">
        <x:v>1</x:v>
      </x:c>
      <x:c r="N328" s="2" t="s">
        <x:v>79</x:v>
      </x:c>
      <x:c r="O328" s="5">
        <x:v>52</x:v>
      </x:c>
      <x:c r="P328" s="2">
        <x:v>399</x:v>
      </x:c>
      <x:c r="Q328" s="2" t="n">
        <x:f>IF(OR(J328="positive",J328="negative"),1,0)</x:f>
        <x:v>1</x:v>
      </x:c>
    </x:row>
    <x:row r="329" ht="15">
      <x:c r="A329" s="2" t="s">
        <x:v>39</x:v>
      </x:c>
      <x:c r="B329" s="2" t="s">
        <x:v>166</x:v>
      </x:c>
      <x:c r="C329" s="2">
        <x:v>2</x:v>
      </x:c>
      <x:c r="D329" s="2" t="s">
        <x:v>305</x:v>
      </x:c>
      <x:c r="E329" s="2" t="s">
        <x:v>306</x:v>
      </x:c>
      <x:c r="F329" s="7">
        <x:v>4.5220000000000003E-2</x:v>
      </x:c>
      <x:c r="G329" s="2" t="s">
        <x:v>304</x:v>
      </x:c>
      <x:c r="H329" s="8">
        <x:v>0.3</x:v>
      </x:c>
      <x:c r="I329" s="9" t="n">
        <x:f t="shared" si="5">IFERROR(ABS(F329)/H329,"")</x:f>
        <x:v>0.15073333333333336</x:v>
      </x:c>
      <x:c r="J329" s="2" t="s">
        <x:v>298</x:v>
      </x:c>
      <x:c r="K329" s="8">
        <x:v>0.93742999999999999</x:v>
      </x:c>
      <x:c r="L329" s="2" t="s">
        <x:v>299</x:v>
      </x:c>
      <x:c r="M329" s="2">
        <x:v>1</x:v>
      </x:c>
      <x:c r="N329" s="2" t="s">
        <x:v>79</x:v>
      </x:c>
      <x:c r="O329" s="5">
        <x:v>52</x:v>
      </x:c>
      <x:c r="P329" s="2">
        <x:v>399</x:v>
      </x:c>
      <x:c r="Q329" s="2" t="n">
        <x:f>IF(OR(J329="positive",J329="negative"),1,0)</x:f>
        <x:v>1</x:v>
      </x:c>
    </x:row>
    <x:row r="330" ht="15">
      <x:c r="A330" s="2" t="s">
        <x:v>39</x:v>
      </x:c>
      <x:c r="B330" s="2" t="s">
        <x:v>167</x:v>
      </x:c>
      <x:c r="C330" s="2">
        <x:v>3</x:v>
      </x:c>
      <x:c r="D330" s="2" t="s">
        <x:v>295</x:v>
      </x:c>
      <x:c r="E330" s="2" t="s">
        <x:v>296</x:v>
      </x:c>
      <x:c r="F330" s="7">
        <x:v>0.71394999999999997</x:v>
      </x:c>
      <x:c r="G330" s="2" t="s">
        <x:v>297</x:v>
      </x:c>
      <x:c r="H330" s="8">
        <x:v>3.5</x:v>
      </x:c>
      <x:c r="I330" s="9" t="n">
        <x:f t="shared" si="5">IFERROR(ABS(F330)/H330,"")</x:f>
        <x:v>0.20398571428571427</x:v>
      </x:c>
      <x:c r="J330" s="2" t="s">
        <x:v>298</x:v>
      </x:c>
      <x:c r="K330" s="8">
        <x:v>0.97240000000000004</x:v>
      </x:c>
      <x:c r="L330" s="2" t="s">
        <x:v>299</x:v>
      </x:c>
      <x:c r="M330" s="2">
        <x:v>1</x:v>
      </x:c>
      <x:c r="N330" s="2" t="s">
        <x:v>79</x:v>
      </x:c>
      <x:c r="O330" s="5">
        <x:v>61.6</x:v>
      </x:c>
      <x:c r="P330" s="2">
        <x:v>448</x:v>
      </x:c>
      <x:c r="Q330" s="2" t="n">
        <x:f>IF(OR(J330="positive",J330="negative"),1,0)</x:f>
        <x:v>1</x:v>
      </x:c>
    </x:row>
    <x:row r="331" ht="15">
      <x:c r="A331" s="2" t="s">
        <x:v>39</x:v>
      </x:c>
      <x:c r="B331" s="2" t="s">
        <x:v>167</x:v>
      </x:c>
      <x:c r="C331" s="2">
        <x:v>3</x:v>
      </x:c>
      <x:c r="D331" s="2" t="s">
        <x:v>300</x:v>
      </x:c>
      <x:c r="E331" s="2" t="s">
        <x:v>301</x:v>
      </x:c>
      <x:c r="F331" s="7">
        <x:v>7.5990000000000002E-2</x:v>
      </x:c>
      <x:c r="G331" s="2" t="s">
        <x:v>302</x:v>
      </x:c>
      <x:c r="H331" s="8">
        <x:v>0.45</x:v>
      </x:c>
      <x:c r="I331" s="9" t="n">
        <x:f t="shared" si="5">IFERROR(ABS(F331)/H331,"")</x:f>
        <x:v>0.16886666666666666</x:v>
      </x:c>
      <x:c r="J331" s="2" t="s">
        <x:v>298</x:v>
      </x:c>
      <x:c r="K331" s="8">
        <x:v>0.95811000000000002</x:v>
      </x:c>
      <x:c r="L331" s="2" t="s">
        <x:v>299</x:v>
      </x:c>
      <x:c r="M331" s="2">
        <x:v>1</x:v>
      </x:c>
      <x:c r="N331" s="2" t="s">
        <x:v>79</x:v>
      </x:c>
      <x:c r="O331" s="5">
        <x:v>61.6</x:v>
      </x:c>
      <x:c r="P331" s="2">
        <x:v>448</x:v>
      </x:c>
      <x:c r="Q331" s="2" t="n">
        <x:f>IF(OR(J331="positive",J331="negative"),1,0)</x:f>
        <x:v>1</x:v>
      </x:c>
    </x:row>
    <x:row r="332" ht="15">
      <x:c r="A332" s="2" t="s">
        <x:v>39</x:v>
      </x:c>
      <x:c r="B332" s="2" t="s">
        <x:v>167</x:v>
      </x:c>
      <x:c r="C332" s="2">
        <x:v>3</x:v>
      </x:c>
      <x:c r="D332" s="2" t="s">
        <x:v>18</x:v>
      </x:c>
      <x:c r="E332" s="2" t="s">
        <x:v>303</x:v>
      </x:c>
      <x:c r="F332" s="7">
        <x:v>-1.5610000000000001E-2</x:v>
      </x:c>
      <x:c r="G332" s="2" t="s">
        <x:v>304</x:v>
      </x:c>
      <x:c r="H332" s="8">
        <x:v>7.4999999999999997E-2</x:v>
      </x:c>
      <x:c r="I332" s="9" t="n">
        <x:f t="shared" si="5">IFERROR(ABS(F332)/H332,"")</x:f>
        <x:v>0.20813333333333334</x:v>
      </x:c>
      <x:c r="J332" s="2" t="s">
        <x:v>298</x:v>
      </x:c>
      <x:c r="K332" s="8">
        <x:v>0.98868</x:v>
      </x:c>
      <x:c r="L332" s="2" t="s">
        <x:v>299</x:v>
      </x:c>
      <x:c r="M332" s="2">
        <x:v>1</x:v>
      </x:c>
      <x:c r="N332" s="2" t="s">
        <x:v>79</x:v>
      </x:c>
      <x:c r="O332" s="5">
        <x:v>61.6</x:v>
      </x:c>
      <x:c r="P332" s="2">
        <x:v>448</x:v>
      </x:c>
      <x:c r="Q332" s="2" t="n">
        <x:f>IF(OR(J332="positive",J332="negative"),1,0)</x:f>
        <x:v>1</x:v>
      </x:c>
    </x:row>
    <x:row r="333" ht="15">
      <x:c r="A333" s="2" t="s">
        <x:v>39</x:v>
      </x:c>
      <x:c r="B333" s="2" t="s">
        <x:v>167</x:v>
      </x:c>
      <x:c r="C333" s="2">
        <x:v>3</x:v>
      </x:c>
      <x:c r="D333" s="2" t="s">
        <x:v>305</x:v>
      </x:c>
      <x:c r="E333" s="2" t="s">
        <x:v>306</x:v>
      </x:c>
      <x:c r="F333" s="7">
        <x:v>8.7029999999999996E-2</x:v>
      </x:c>
      <x:c r="G333" s="2" t="s">
        <x:v>304</x:v>
      </x:c>
      <x:c r="H333" s="8">
        <x:v>0.3</x:v>
      </x:c>
      <x:c r="I333" s="9" t="n">
        <x:f t="shared" si="5">IFERROR(ABS(F333)/H333,"")</x:f>
        <x:v>0.2901</x:v>
      </x:c>
      <x:c r="J333" s="2" t="s">
        <x:v>298</x:v>
      </x:c>
      <x:c r="K333" s="8">
        <x:v>0.93825999999999998</x:v>
      </x:c>
      <x:c r="L333" s="2" t="s">
        <x:v>299</x:v>
      </x:c>
      <x:c r="M333" s="2">
        <x:v>1</x:v>
      </x:c>
      <x:c r="N333" s="2" t="s">
        <x:v>79</x:v>
      </x:c>
      <x:c r="O333" s="5">
        <x:v>61.6</x:v>
      </x:c>
      <x:c r="P333" s="2">
        <x:v>448</x:v>
      </x:c>
      <x:c r="Q333" s="2" t="n">
        <x:f>IF(OR(J333="positive",J333="negative"),1,0)</x:f>
        <x:v>1</x:v>
      </x:c>
    </x:row>
    <x:row r="334" ht="15">
      <x:c r="A334" s="2" t="s">
        <x:v>39</x:v>
      </x:c>
      <x:c r="B334" s="2" t="s">
        <x:v>168</x:v>
      </x:c>
      <x:c r="C334" s="2">
        <x:v>4</x:v>
      </x:c>
      <x:c r="D334" s="2" t="s">
        <x:v>295</x:v>
      </x:c>
      <x:c r="E334" s="2" t="s">
        <x:v>296</x:v>
      </x:c>
      <x:c r="F334" s="7">
        <x:v>0.67567999999999995</x:v>
      </x:c>
      <x:c r="G334" s="2" t="s">
        <x:v>297</x:v>
      </x:c>
      <x:c r="H334" s="8">
        <x:v>3.5</x:v>
      </x:c>
      <x:c r="I334" s="9" t="n">
        <x:f t="shared" si="5">IFERROR(ABS(F334)/H334,"")</x:f>
        <x:v>0.19305142857142857</x:v>
      </x:c>
      <x:c r="J334" s="2" t="s">
        <x:v>298</x:v>
      </x:c>
      <x:c r="K334" s="8">
        <x:v>0.91508</x:v>
      </x:c>
      <x:c r="L334" s="2" t="s">
        <x:v>299</x:v>
      </x:c>
      <x:c r="M334" s="2">
        <x:v>1</x:v>
      </x:c>
      <x:c r="N334" s="2" t="s">
        <x:v>79</x:v>
      </x:c>
      <x:c r="O334" s="5">
        <x:v>60.8</x:v>
      </x:c>
      <x:c r="P334" s="2">
        <x:v>414</x:v>
      </x:c>
      <x:c r="Q334" s="2" t="n">
        <x:f>IF(OR(J334="positive",J334="negative"),1,0)</x:f>
        <x:v>1</x:v>
      </x:c>
    </x:row>
    <x:row r="335" ht="15">
      <x:c r="A335" s="2" t="s">
        <x:v>39</x:v>
      </x:c>
      <x:c r="B335" s="2" t="s">
        <x:v>168</x:v>
      </x:c>
      <x:c r="C335" s="2">
        <x:v>4</x:v>
      </x:c>
      <x:c r="D335" s="2" t="s">
        <x:v>300</x:v>
      </x:c>
      <x:c r="E335" s="2" t="s">
        <x:v>301</x:v>
      </x:c>
      <x:c r="F335" s="7">
        <x:v>5.9799999999999999E-2</x:v>
      </x:c>
      <x:c r="G335" s="2" t="s">
        <x:v>302</x:v>
      </x:c>
      <x:c r="H335" s="8">
        <x:v>0.45</x:v>
      </x:c>
      <x:c r="I335" s="9" t="n">
        <x:f t="shared" si="5">IFERROR(ABS(F335)/H335,"")</x:f>
        <x:v>0.1328888888888889</x:v>
      </x:c>
      <x:c r="J335" s="2" t="s">
        <x:v>298</x:v>
      </x:c>
      <x:c r="K335" s="8">
        <x:v>0.96148</x:v>
      </x:c>
      <x:c r="L335" s="2" t="s">
        <x:v>299</x:v>
      </x:c>
      <x:c r="M335" s="2">
        <x:v>1</x:v>
      </x:c>
      <x:c r="N335" s="2" t="s">
        <x:v>79</x:v>
      </x:c>
      <x:c r="O335" s="5">
        <x:v>60.8</x:v>
      </x:c>
      <x:c r="P335" s="2">
        <x:v>414</x:v>
      </x:c>
      <x:c r="Q335" s="2" t="n">
        <x:f>IF(OR(J335="positive",J335="negative"),1,0)</x:f>
        <x:v>1</x:v>
      </x:c>
    </x:row>
    <x:row r="336" ht="15">
      <x:c r="A336" s="2" t="s">
        <x:v>39</x:v>
      </x:c>
      <x:c r="B336" s="2" t="s">
        <x:v>168</x:v>
      </x:c>
      <x:c r="C336" s="2">
        <x:v>4</x:v>
      </x:c>
      <x:c r="D336" s="2" t="s">
        <x:v>18</x:v>
      </x:c>
      <x:c r="E336" s="2" t="s">
        <x:v>303</x:v>
      </x:c>
      <x:c r="F336" s="7">
        <x:v>-1.5740000000000001E-2</x:v>
      </x:c>
      <x:c r="G336" s="2" t="s">
        <x:v>304</x:v>
      </x:c>
      <x:c r="H336" s="8">
        <x:v>7.4999999999999997E-2</x:v>
      </x:c>
      <x:c r="I336" s="9" t="n">
        <x:f t="shared" si="5">IFERROR(ABS(F336)/H336,"")</x:f>
        <x:v>0.20986666666666667</x:v>
      </x:c>
      <x:c r="J336" s="2" t="s">
        <x:v>298</x:v>
      </x:c>
      <x:c r="K336" s="8">
        <x:v>0.96680999999999995</x:v>
      </x:c>
      <x:c r="L336" s="2" t="s">
        <x:v>299</x:v>
      </x:c>
      <x:c r="M336" s="2">
        <x:v>1</x:v>
      </x:c>
      <x:c r="N336" s="2" t="s">
        <x:v>79</x:v>
      </x:c>
      <x:c r="O336" s="5">
        <x:v>60.8</x:v>
      </x:c>
      <x:c r="P336" s="2">
        <x:v>414</x:v>
      </x:c>
      <x:c r="Q336" s="2" t="n">
        <x:f>IF(OR(J336="positive",J336="negative"),1,0)</x:f>
        <x:v>1</x:v>
      </x:c>
    </x:row>
    <x:row r="337" ht="15">
      <x:c r="A337" s="2" t="s">
        <x:v>39</x:v>
      </x:c>
      <x:c r="B337" s="2" t="s">
        <x:v>168</x:v>
      </x:c>
      <x:c r="C337" s="2">
        <x:v>4</x:v>
      </x:c>
      <x:c r="D337" s="2" t="s">
        <x:v>305</x:v>
      </x:c>
      <x:c r="E337" s="2" t="s">
        <x:v>306</x:v>
      </x:c>
      <x:c r="F337" s="7">
        <x:v>8.208E-2</x:v>
      </x:c>
      <x:c r="G337" s="2" t="s">
        <x:v>304</x:v>
      </x:c>
      <x:c r="H337" s="8">
        <x:v>0.3</x:v>
      </x:c>
      <x:c r="I337" s="9" t="n">
        <x:f t="shared" si="5">IFERROR(ABS(F337)/H337,"")</x:f>
        <x:v>0.2736</x:v>
      </x:c>
      <x:c r="J337" s="2" t="s">
        <x:v>298</x:v>
      </x:c>
      <x:c r="K337" s="8">
        <x:v>0.91759000000000002</x:v>
      </x:c>
      <x:c r="L337" s="2" t="s">
        <x:v>299</x:v>
      </x:c>
      <x:c r="M337" s="2">
        <x:v>1</x:v>
      </x:c>
      <x:c r="N337" s="2" t="s">
        <x:v>79</x:v>
      </x:c>
      <x:c r="O337" s="5">
        <x:v>60.8</x:v>
      </x:c>
      <x:c r="P337" s="2">
        <x:v>414</x:v>
      </x:c>
      <x:c r="Q337" s="2" t="n">
        <x:f>IF(OR(J337="positive",J337="negative"),1,0)</x:f>
        <x:v>1</x:v>
      </x:c>
    </x:row>
    <x:row r="338" ht="15">
      <x:c r="A338" s="2" t="s">
        <x:v>39</x:v>
      </x:c>
      <x:c r="B338" s="2" t="s">
        <x:v>169</x:v>
      </x:c>
      <x:c r="C338" s="2">
        <x:v>5</x:v>
      </x:c>
      <x:c r="D338" s="2" t="s">
        <x:v>295</x:v>
      </x:c>
      <x:c r="E338" s="2" t="s">
        <x:v>296</x:v>
      </x:c>
      <x:c r="F338" s="7">
        <x:v>0.47008</x:v>
      </x:c>
      <x:c r="G338" s="2" t="s">
        <x:v>297</x:v>
      </x:c>
      <x:c r="H338" s="8">
        <x:v>3.5</x:v>
      </x:c>
      <x:c r="I338" s="9" t="n">
        <x:f t="shared" si="5">IFERROR(ABS(F338)/H338,"")</x:f>
        <x:v>0.13430857142857142</x:v>
      </x:c>
      <x:c r="J338" s="2" t="s">
        <x:v>298</x:v>
      </x:c>
      <x:c r="K338" s="8">
        <x:v>0.94255999999999995</x:v>
      </x:c>
      <x:c r="L338" s="2" t="s">
        <x:v>299</x:v>
      </x:c>
      <x:c r="M338" s="2">
        <x:v>1</x:v>
      </x:c>
      <x:c r="N338" s="2" t="s">
        <x:v>79</x:v>
      </x:c>
      <x:c r="O338" s="5">
        <x:v>60.7</x:v>
      </x:c>
      <x:c r="P338" s="2">
        <x:v>366</x:v>
      </x:c>
      <x:c r="Q338" s="2" t="n">
        <x:f>IF(OR(J338="positive",J338="negative"),1,0)</x:f>
        <x:v>1</x:v>
      </x:c>
    </x:row>
    <x:row r="339" ht="15">
      <x:c r="A339" s="2" t="s">
        <x:v>39</x:v>
      </x:c>
      <x:c r="B339" s="2" t="s">
        <x:v>169</x:v>
      </x:c>
      <x:c r="C339" s="2">
        <x:v>5</x:v>
      </x:c>
      <x:c r="D339" s="2" t="s">
        <x:v>300</x:v>
      </x:c>
      <x:c r="E339" s="2" t="s">
        <x:v>301</x:v>
      </x:c>
      <x:c r="F339" s="7">
        <x:v>9.3429999999999999E-2</x:v>
      </x:c>
      <x:c r="G339" s="2" t="s">
        <x:v>302</x:v>
      </x:c>
      <x:c r="H339" s="8">
        <x:v>0.45</x:v>
      </x:c>
      <x:c r="I339" s="9" t="n">
        <x:f t="shared" si="5">IFERROR(ABS(F339)/H339,"")</x:f>
        <x:v>0.2076222222222222</x:v>
      </x:c>
      <x:c r="J339" s="2" t="s">
        <x:v>298</x:v>
      </x:c>
      <x:c r="K339" s="8">
        <x:v>0.95504999999999995</x:v>
      </x:c>
      <x:c r="L339" s="2" t="s">
        <x:v>299</x:v>
      </x:c>
      <x:c r="M339" s="2">
        <x:v>1</x:v>
      </x:c>
      <x:c r="N339" s="2" t="s">
        <x:v>79</x:v>
      </x:c>
      <x:c r="O339" s="5">
        <x:v>60.7</x:v>
      </x:c>
      <x:c r="P339" s="2">
        <x:v>366</x:v>
      </x:c>
      <x:c r="Q339" s="2" t="n">
        <x:f>IF(OR(J339="positive",J339="negative"),1,0)</x:f>
        <x:v>1</x:v>
      </x:c>
    </x:row>
    <x:row r="340" ht="15">
      <x:c r="A340" s="2" t="s">
        <x:v>39</x:v>
      </x:c>
      <x:c r="B340" s="2" t="s">
        <x:v>169</x:v>
      </x:c>
      <x:c r="C340" s="2">
        <x:v>5</x:v>
      </x:c>
      <x:c r="D340" s="2" t="s">
        <x:v>18</x:v>
      </x:c>
      <x:c r="E340" s="2" t="s">
        <x:v>303</x:v>
      </x:c>
      <x:c r="F340" s="7">
        <x:v>-5.8599999999999998E-3</x:v>
      </x:c>
      <x:c r="G340" s="2" t="s">
        <x:v>304</x:v>
      </x:c>
      <x:c r="H340" s="8">
        <x:v>7.4999999999999997E-2</x:v>
      </x:c>
      <x:c r="I340" s="9" t="n">
        <x:f t="shared" si="5">IFERROR(ABS(F340)/H340,"")</x:f>
        <x:v>0.07813333333333333</x:v>
      </x:c>
      <x:c r="J340" s="2" t="s">
        <x:v>298</x:v>
      </x:c>
      <x:c r="K340" s="8">
        <x:v>0.96616000000000002</x:v>
      </x:c>
      <x:c r="L340" s="2" t="s">
        <x:v>299</x:v>
      </x:c>
      <x:c r="M340" s="2">
        <x:v>1</x:v>
      </x:c>
      <x:c r="N340" s="2" t="s">
        <x:v>79</x:v>
      </x:c>
      <x:c r="O340" s="5">
        <x:v>60.7</x:v>
      </x:c>
      <x:c r="P340" s="2">
        <x:v>366</x:v>
      </x:c>
      <x:c r="Q340" s="2" t="n">
        <x:f>IF(OR(J340="positive",J340="negative"),1,0)</x:f>
        <x:v>1</x:v>
      </x:c>
    </x:row>
    <x:row r="341" ht="15">
      <x:c r="A341" s="2" t="s">
        <x:v>39</x:v>
      </x:c>
      <x:c r="B341" s="2" t="s">
        <x:v>169</x:v>
      </x:c>
      <x:c r="C341" s="2">
        <x:v>5</x:v>
      </x:c>
      <x:c r="D341" s="2" t="s">
        <x:v>305</x:v>
      </x:c>
      <x:c r="E341" s="2" t="s">
        <x:v>306</x:v>
      </x:c>
      <x:c r="F341" s="7">
        <x:v>8.2159999999999997E-2</x:v>
      </x:c>
      <x:c r="G341" s="2" t="s">
        <x:v>304</x:v>
      </x:c>
      <x:c r="H341" s="8">
        <x:v>0.3</x:v>
      </x:c>
      <x:c r="I341" s="9" t="n">
        <x:f t="shared" si="5">IFERROR(ABS(F341)/H341,"")</x:f>
        <x:v>0.27386666666666665</x:v>
      </x:c>
      <x:c r="J341" s="2" t="s">
        <x:v>298</x:v>
      </x:c>
      <x:c r="K341" s="8">
        <x:v>0.96067999999999998</x:v>
      </x:c>
      <x:c r="L341" s="2" t="s">
        <x:v>299</x:v>
      </x:c>
      <x:c r="M341" s="2">
        <x:v>1</x:v>
      </x:c>
      <x:c r="N341" s="2" t="s">
        <x:v>79</x:v>
      </x:c>
      <x:c r="O341" s="5">
        <x:v>60.7</x:v>
      </x:c>
      <x:c r="P341" s="2">
        <x:v>366</x:v>
      </x:c>
      <x:c r="Q341" s="2" t="n">
        <x:f>IF(OR(J341="positive",J341="negative"),1,0)</x:f>
        <x:v>1</x:v>
      </x:c>
    </x:row>
    <x:row r="342" ht="15">
      <x:c r="A342" s="2" t="s">
        <x:v>40</x:v>
      </x:c>
      <x:c r="B342" s="2" t="s">
        <x:v>170</x:v>
      </x:c>
      <x:c r="C342" s="2">
        <x:v>1</x:v>
      </x:c>
      <x:c r="D342" s="2" t="s">
        <x:v>295</x:v>
      </x:c>
      <x:c r="E342" s="2" t="s">
        <x:v>296</x:v>
      </x:c>
      <x:c r="F342" s="7">
        <x:v>0.15176999999999999</x:v>
      </x:c>
      <x:c r="G342" s="2" t="s">
        <x:v>297</x:v>
      </x:c>
      <x:c r="H342" s="8">
        <x:v>3.5</x:v>
      </x:c>
      <x:c r="I342" s="9" t="n">
        <x:f t="shared" si="5">IFERROR(ABS(F342)/H342,"")</x:f>
        <x:v>0.04336285714285714</x:v>
      </x:c>
      <x:c r="J342" s="2" t="s">
        <x:v>298</x:v>
      </x:c>
      <x:c r="K342" s="8">
        <x:v>0.91739000000000004</x:v>
      </x:c>
      <x:c r="L342" s="2" t="s">
        <x:v>299</x:v>
      </x:c>
      <x:c r="M342" s="2">
        <x:v>1</x:v>
      </x:c>
      <x:c r="N342" s="2" t="s">
        <x:v>79</x:v>
      </x:c>
      <x:c r="O342" s="5">
        <x:v>52.5</x:v>
      </x:c>
      <x:c r="P342" s="2">
        <x:v>316</x:v>
      </x:c>
      <x:c r="Q342" s="2" t="n">
        <x:f>IF(OR(J342="positive",J342="negative"),1,0)</x:f>
        <x:v>1</x:v>
      </x:c>
    </x:row>
    <x:row r="343" ht="15">
      <x:c r="A343" s="2" t="s">
        <x:v>40</x:v>
      </x:c>
      <x:c r="B343" s="2" t="s">
        <x:v>170</x:v>
      </x:c>
      <x:c r="C343" s="2">
        <x:v>1</x:v>
      </x:c>
      <x:c r="D343" s="2" t="s">
        <x:v>300</x:v>
      </x:c>
      <x:c r="E343" s="2" t="s">
        <x:v>301</x:v>
      </x:c>
      <x:c r="F343" s="7">
        <x:v>5.9499999999999997E-2</x:v>
      </x:c>
      <x:c r="G343" s="2" t="s">
        <x:v>302</x:v>
      </x:c>
      <x:c r="H343" s="8">
        <x:v>0.45</x:v>
      </x:c>
      <x:c r="I343" s="9" t="n">
        <x:f t="shared" si="5">IFERROR(ABS(F343)/H343,"")</x:f>
        <x:v>0.1322222222222222</x:v>
      </x:c>
      <x:c r="J343" s="2" t="s">
        <x:v>298</x:v>
      </x:c>
      <x:c r="K343" s="8">
        <x:v>0.93384</x:v>
      </x:c>
      <x:c r="L343" s="2" t="s">
        <x:v>299</x:v>
      </x:c>
      <x:c r="M343" s="2">
        <x:v>1</x:v>
      </x:c>
      <x:c r="N343" s="2" t="s">
        <x:v>79</x:v>
      </x:c>
      <x:c r="O343" s="5">
        <x:v>52.5</x:v>
      </x:c>
      <x:c r="P343" s="2">
        <x:v>316</x:v>
      </x:c>
      <x:c r="Q343" s="2" t="n">
        <x:f>IF(OR(J343="positive",J343="negative"),1,0)</x:f>
        <x:v>1</x:v>
      </x:c>
    </x:row>
    <x:row r="344" ht="15">
      <x:c r="A344" s="2" t="s">
        <x:v>40</x:v>
      </x:c>
      <x:c r="B344" s="2" t="s">
        <x:v>170</x:v>
      </x:c>
      <x:c r="C344" s="2">
        <x:v>1</x:v>
      </x:c>
      <x:c r="D344" s="2" t="s">
        <x:v>18</x:v>
      </x:c>
      <x:c r="E344" s="2" t="s">
        <x:v>303</x:v>
      </x:c>
      <x:c r="F344" s="7">
        <x:v>-1.5559999999999999E-2</x:v>
      </x:c>
      <x:c r="G344" s="2" t="s">
        <x:v>304</x:v>
      </x:c>
      <x:c r="H344" s="8">
        <x:v>7.4999999999999997E-2</x:v>
      </x:c>
      <x:c r="I344" s="9" t="n">
        <x:f t="shared" si="5">IFERROR(ABS(F344)/H344,"")</x:f>
        <x:v>0.20746666666666666</x:v>
      </x:c>
      <x:c r="J344" s="2" t="s">
        <x:v>298</x:v>
      </x:c>
      <x:c r="K344" s="8">
        <x:v>0.97550999999999999</x:v>
      </x:c>
      <x:c r="L344" s="2" t="s">
        <x:v>299</x:v>
      </x:c>
      <x:c r="M344" s="2">
        <x:v>1</x:v>
      </x:c>
      <x:c r="N344" s="2" t="s">
        <x:v>79</x:v>
      </x:c>
      <x:c r="O344" s="5">
        <x:v>52.5</x:v>
      </x:c>
      <x:c r="P344" s="2">
        <x:v>316</x:v>
      </x:c>
      <x:c r="Q344" s="2" t="n">
        <x:f>IF(OR(J344="positive",J344="negative"),1,0)</x:f>
        <x:v>1</x:v>
      </x:c>
    </x:row>
    <x:row r="345" ht="15">
      <x:c r="A345" s="2" t="s">
        <x:v>40</x:v>
      </x:c>
      <x:c r="B345" s="2" t="s">
        <x:v>170</x:v>
      </x:c>
      <x:c r="C345" s="2">
        <x:v>1</x:v>
      </x:c>
      <x:c r="D345" s="2" t="s">
        <x:v>305</x:v>
      </x:c>
      <x:c r="E345" s="2" t="s">
        <x:v>306</x:v>
      </x:c>
      <x:c r="F345" s="7">
        <x:v>-4.734E-2</x:v>
      </x:c>
      <x:c r="G345" s="2" t="s">
        <x:v>304</x:v>
      </x:c>
      <x:c r="H345" s="8">
        <x:v>0.3</x:v>
      </x:c>
      <x:c r="I345" s="9" t="n">
        <x:f t="shared" si="5">IFERROR(ABS(F345)/H345,"")</x:f>
        <x:v>0.1578</x:v>
      </x:c>
      <x:c r="J345" s="2" t="s">
        <x:v>298</x:v>
      </x:c>
      <x:c r="K345" s="8">
        <x:v>0.95206000000000002</x:v>
      </x:c>
      <x:c r="L345" s="2" t="s">
        <x:v>299</x:v>
      </x:c>
      <x:c r="M345" s="2">
        <x:v>1</x:v>
      </x:c>
      <x:c r="N345" s="2" t="s">
        <x:v>79</x:v>
      </x:c>
      <x:c r="O345" s="5">
        <x:v>52.5</x:v>
      </x:c>
      <x:c r="P345" s="2">
        <x:v>316</x:v>
      </x:c>
      <x:c r="Q345" s="2" t="n">
        <x:f>IF(OR(J345="positive",J345="negative"),1,0)</x:f>
        <x:v>1</x:v>
      </x:c>
    </x:row>
    <x:row r="346" ht="15">
      <x:c r="A346" s="2" t="s">
        <x:v>40</x:v>
      </x:c>
      <x:c r="B346" s="2" t="s">
        <x:v>171</x:v>
      </x:c>
      <x:c r="C346" s="2">
        <x:v>2</x:v>
      </x:c>
      <x:c r="D346" s="2" t="s">
        <x:v>295</x:v>
      </x:c>
      <x:c r="E346" s="2" t="s">
        <x:v>296</x:v>
      </x:c>
      <x:c r="F346" s="7">
        <x:v>0.45963999999999999</x:v>
      </x:c>
      <x:c r="G346" s="2" t="s">
        <x:v>297</x:v>
      </x:c>
      <x:c r="H346" s="8">
        <x:v>3.5</x:v>
      </x:c>
      <x:c r="I346" s="9" t="n">
        <x:f t="shared" si="5">IFERROR(ABS(F346)/H346,"")</x:f>
        <x:v>0.1313257142857143</x:v>
      </x:c>
      <x:c r="J346" s="2" t="s">
        <x:v>298</x:v>
      </x:c>
      <x:c r="K346" s="8">
        <x:v>0.94855</x:v>
      </x:c>
      <x:c r="L346" s="2" t="s">
        <x:v>299</x:v>
      </x:c>
      <x:c r="M346" s="2">
        <x:v>1</x:v>
      </x:c>
      <x:c r="N346" s="2" t="s">
        <x:v>79</x:v>
      </x:c>
      <x:c r="O346" s="5">
        <x:v>54</x:v>
      </x:c>
      <x:c r="P346" s="2">
        <x:v>327</x:v>
      </x:c>
      <x:c r="Q346" s="2" t="n">
        <x:f>IF(OR(J346="positive",J346="negative"),1,0)</x:f>
        <x:v>1</x:v>
      </x:c>
    </x:row>
    <x:row r="347" ht="15">
      <x:c r="A347" s="2" t="s">
        <x:v>40</x:v>
      </x:c>
      <x:c r="B347" s="2" t="s">
        <x:v>171</x:v>
      </x:c>
      <x:c r="C347" s="2">
        <x:v>2</x:v>
      </x:c>
      <x:c r="D347" s="2" t="s">
        <x:v>300</x:v>
      </x:c>
      <x:c r="E347" s="2" t="s">
        <x:v>301</x:v>
      </x:c>
      <x:c r="F347" s="7">
        <x:v>7.0349999999999996E-2</x:v>
      </x:c>
      <x:c r="G347" s="2" t="s">
        <x:v>302</x:v>
      </x:c>
      <x:c r="H347" s="8">
        <x:v>0.45</x:v>
      </x:c>
      <x:c r="I347" s="9" t="n">
        <x:f t="shared" si="5">IFERROR(ABS(F347)/H347,"")</x:f>
        <x:v>0.15633333333333332</x:v>
      </x:c>
      <x:c r="J347" s="2" t="s">
        <x:v>298</x:v>
      </x:c>
      <x:c r="K347" s="8">
        <x:v>0.92288999999999999</x:v>
      </x:c>
      <x:c r="L347" s="2" t="s">
        <x:v>299</x:v>
      </x:c>
      <x:c r="M347" s="2">
        <x:v>1</x:v>
      </x:c>
      <x:c r="N347" s="2" t="s">
        <x:v>79</x:v>
      </x:c>
      <x:c r="O347" s="5">
        <x:v>54</x:v>
      </x:c>
      <x:c r="P347" s="2">
        <x:v>327</x:v>
      </x:c>
      <x:c r="Q347" s="2" t="n">
        <x:f>IF(OR(J347="positive",J347="negative"),1,0)</x:f>
        <x:v>1</x:v>
      </x:c>
    </x:row>
    <x:row r="348" ht="15">
      <x:c r="A348" s="2" t="s">
        <x:v>40</x:v>
      </x:c>
      <x:c r="B348" s="2" t="s">
        <x:v>171</x:v>
      </x:c>
      <x:c r="C348" s="2">
        <x:v>2</x:v>
      </x:c>
      <x:c r="D348" s="2" t="s">
        <x:v>18</x:v>
      </x:c>
      <x:c r="E348" s="2" t="s">
        <x:v>303</x:v>
      </x:c>
      <x:c r="F348" s="7">
        <x:v>-2.334E-2</x:v>
      </x:c>
      <x:c r="G348" s="2" t="s">
        <x:v>304</x:v>
      </x:c>
      <x:c r="H348" s="8">
        <x:v>7.4999999999999997E-2</x:v>
      </x:c>
      <x:c r="I348" s="9" t="n">
        <x:f t="shared" si="5">IFERROR(ABS(F348)/H348,"")</x:f>
        <x:v>0.31120000000000003</x:v>
      </x:c>
      <x:c r="J348" s="2" t="s">
        <x:v>298</x:v>
      </x:c>
      <x:c r="K348" s="8">
        <x:v>0.96172000000000002</x:v>
      </x:c>
      <x:c r="L348" s="2" t="s">
        <x:v>299</x:v>
      </x:c>
      <x:c r="M348" s="2">
        <x:v>1</x:v>
      </x:c>
      <x:c r="N348" s="2" t="s">
        <x:v>79</x:v>
      </x:c>
      <x:c r="O348" s="5">
        <x:v>54</x:v>
      </x:c>
      <x:c r="P348" s="2">
        <x:v>327</x:v>
      </x:c>
      <x:c r="Q348" s="2" t="n">
        <x:f>IF(OR(J348="positive",J348="negative"),1,0)</x:f>
        <x:v>1</x:v>
      </x:c>
    </x:row>
    <x:row r="349" ht="15">
      <x:c r="A349" s="2" t="s">
        <x:v>40</x:v>
      </x:c>
      <x:c r="B349" s="2" t="s">
        <x:v>171</x:v>
      </x:c>
      <x:c r="C349" s="2">
        <x:v>2</x:v>
      </x:c>
      <x:c r="D349" s="2" t="s">
        <x:v>305</x:v>
      </x:c>
      <x:c r="E349" s="2" t="s">
        <x:v>306</x:v>
      </x:c>
      <x:c r="F349" s="7">
        <x:v>-5.0479999999999997E-2</x:v>
      </x:c>
      <x:c r="G349" s="2" t="s">
        <x:v>304</x:v>
      </x:c>
      <x:c r="H349" s="8">
        <x:v>0.3</x:v>
      </x:c>
      <x:c r="I349" s="9" t="n">
        <x:f t="shared" si="5">IFERROR(ABS(F349)/H349,"")</x:f>
        <x:v>0.16826666666666668</x:v>
      </x:c>
      <x:c r="J349" s="2" t="s">
        <x:v>298</x:v>
      </x:c>
      <x:c r="K349" s="8">
        <x:v>0.93935999999999997</x:v>
      </x:c>
      <x:c r="L349" s="2" t="s">
        <x:v>299</x:v>
      </x:c>
      <x:c r="M349" s="2">
        <x:v>1</x:v>
      </x:c>
      <x:c r="N349" s="2" t="s">
        <x:v>79</x:v>
      </x:c>
      <x:c r="O349" s="5">
        <x:v>54</x:v>
      </x:c>
      <x:c r="P349" s="2">
        <x:v>327</x:v>
      </x:c>
      <x:c r="Q349" s="2" t="n">
        <x:f>IF(OR(J349="positive",J349="negative"),1,0)</x:f>
        <x:v>1</x:v>
      </x:c>
    </x:row>
    <x:row r="350" ht="15">
      <x:c r="A350" s="2" t="s">
        <x:v>40</x:v>
      </x:c>
      <x:c r="B350" s="2" t="s">
        <x:v>172</x:v>
      </x:c>
      <x:c r="C350" s="2">
        <x:v>3</x:v>
      </x:c>
      <x:c r="D350" s="2" t="s">
        <x:v>295</x:v>
      </x:c>
      <x:c r="E350" s="2" t="s">
        <x:v>296</x:v>
      </x:c>
      <x:c r="F350" s="7">
        <x:v>1.294E-2</x:v>
      </x:c>
      <x:c r="G350" s="2" t="s">
        <x:v>297</x:v>
      </x:c>
      <x:c r="H350" s="8">
        <x:v>3.5</x:v>
      </x:c>
      <x:c r="I350" s="9" t="n">
        <x:f t="shared" si="5">IFERROR(ABS(F350)/H350,"")</x:f>
        <x:v>0.003697142857142857</x:v>
      </x:c>
      <x:c r="J350" s="2" t="s">
        <x:v>298</x:v>
      </x:c>
      <x:c r="K350" s="8">
        <x:v>0.95030999999999999</x:v>
      </x:c>
      <x:c r="L350" s="2" t="s">
        <x:v>299</x:v>
      </x:c>
      <x:c r="M350" s="2">
        <x:v>1</x:v>
      </x:c>
      <x:c r="N350" s="2" t="s">
        <x:v>79</x:v>
      </x:c>
      <x:c r="O350" s="5">
        <x:v>57.7</x:v>
      </x:c>
      <x:c r="P350" s="2">
        <x:v>499</x:v>
      </x:c>
      <x:c r="Q350" s="2" t="n">
        <x:f>IF(OR(J350="positive",J350="negative"),1,0)</x:f>
        <x:v>1</x:v>
      </x:c>
    </x:row>
    <x:row r="351" ht="15">
      <x:c r="A351" s="2" t="s">
        <x:v>40</x:v>
      </x:c>
      <x:c r="B351" s="2" t="s">
        <x:v>172</x:v>
      </x:c>
      <x:c r="C351" s="2">
        <x:v>3</x:v>
      </x:c>
      <x:c r="D351" s="2" t="s">
        <x:v>300</x:v>
      </x:c>
      <x:c r="E351" s="2" t="s">
        <x:v>301</x:v>
      </x:c>
      <x:c r="F351" s="7">
        <x:v>5.8169999999999999E-2</x:v>
      </x:c>
      <x:c r="G351" s="2" t="s">
        <x:v>302</x:v>
      </x:c>
      <x:c r="H351" s="8">
        <x:v>0.45</x:v>
      </x:c>
      <x:c r="I351" s="9" t="n">
        <x:f t="shared" si="5">IFERROR(ABS(F351)/H351,"")</x:f>
        <x:v>0.12926666666666667</x:v>
      </x:c>
      <x:c r="J351" s="2" t="s">
        <x:v>298</x:v>
      </x:c>
      <x:c r="K351" s="8">
        <x:v>0.95189999999999997</x:v>
      </x:c>
      <x:c r="L351" s="2" t="s">
        <x:v>299</x:v>
      </x:c>
      <x:c r="M351" s="2">
        <x:v>1</x:v>
      </x:c>
      <x:c r="N351" s="2" t="s">
        <x:v>79</x:v>
      </x:c>
      <x:c r="O351" s="5">
        <x:v>57.7</x:v>
      </x:c>
      <x:c r="P351" s="2">
        <x:v>499</x:v>
      </x:c>
      <x:c r="Q351" s="2" t="n">
        <x:f>IF(OR(J351="positive",J351="negative"),1,0)</x:f>
        <x:v>1</x:v>
      </x:c>
    </x:row>
    <x:row r="352" ht="15">
      <x:c r="A352" s="2" t="s">
        <x:v>40</x:v>
      </x:c>
      <x:c r="B352" s="2" t="s">
        <x:v>172</x:v>
      </x:c>
      <x:c r="C352" s="2">
        <x:v>3</x:v>
      </x:c>
      <x:c r="D352" s="2" t="s">
        <x:v>18</x:v>
      </x:c>
      <x:c r="E352" s="2" t="s">
        <x:v>303</x:v>
      </x:c>
      <x:c r="F352" s="7">
        <x:v>-2.496E-2</x:v>
      </x:c>
      <x:c r="G352" s="2" t="s">
        <x:v>304</x:v>
      </x:c>
      <x:c r="H352" s="8">
        <x:v>7.4999999999999997E-2</x:v>
      </x:c>
      <x:c r="I352" s="9" t="n">
        <x:f t="shared" si="5">IFERROR(ABS(F352)/H352,"")</x:f>
        <x:v>0.3328</x:v>
      </x:c>
      <x:c r="J352" s="2" t="s">
        <x:v>298</x:v>
      </x:c>
      <x:c r="K352" s="8">
        <x:v>0.91066999999999998</x:v>
      </x:c>
      <x:c r="L352" s="2" t="s">
        <x:v>299</x:v>
      </x:c>
      <x:c r="M352" s="2">
        <x:v>1</x:v>
      </x:c>
      <x:c r="N352" s="2" t="s">
        <x:v>79</x:v>
      </x:c>
      <x:c r="O352" s="5">
        <x:v>57.7</x:v>
      </x:c>
      <x:c r="P352" s="2">
        <x:v>499</x:v>
      </x:c>
      <x:c r="Q352" s="2" t="n">
        <x:f>IF(OR(J352="positive",J352="negative"),1,0)</x:f>
        <x:v>1</x:v>
      </x:c>
    </x:row>
    <x:row r="353" ht="15">
      <x:c r="A353" s="2" t="s">
        <x:v>40</x:v>
      </x:c>
      <x:c r="B353" s="2" t="s">
        <x:v>172</x:v>
      </x:c>
      <x:c r="C353" s="2">
        <x:v>3</x:v>
      </x:c>
      <x:c r="D353" s="2" t="s">
        <x:v>305</x:v>
      </x:c>
      <x:c r="E353" s="2" t="s">
        <x:v>306</x:v>
      </x:c>
      <x:c r="F353" s="7">
        <x:v>-1.6480000000000002E-2</x:v>
      </x:c>
      <x:c r="G353" s="2" t="s">
        <x:v>304</x:v>
      </x:c>
      <x:c r="H353" s="8">
        <x:v>0.3</x:v>
      </x:c>
      <x:c r="I353" s="9" t="n">
        <x:f t="shared" si="5">IFERROR(ABS(F353)/H353,"")</x:f>
        <x:v>0.05493333333333334</x:v>
      </x:c>
      <x:c r="J353" s="2" t="s">
        <x:v>298</x:v>
      </x:c>
      <x:c r="K353" s="8">
        <x:v>0.94618000000000002</x:v>
      </x:c>
      <x:c r="L353" s="2" t="s">
        <x:v>299</x:v>
      </x:c>
      <x:c r="M353" s="2">
        <x:v>1</x:v>
      </x:c>
      <x:c r="N353" s="2" t="s">
        <x:v>79</x:v>
      </x:c>
      <x:c r="O353" s="5">
        <x:v>57.7</x:v>
      </x:c>
      <x:c r="P353" s="2">
        <x:v>499</x:v>
      </x:c>
      <x:c r="Q353" s="2" t="n">
        <x:f>IF(OR(J353="positive",J353="negative"),1,0)</x:f>
        <x:v>1</x:v>
      </x:c>
    </x:row>
    <x:row r="354" ht="15">
      <x:c r="A354" s="2" t="s">
        <x:v>40</x:v>
      </x:c>
      <x:c r="B354" s="2" t="s">
        <x:v>173</x:v>
      </x:c>
      <x:c r="C354" s="2">
        <x:v>4</x:v>
      </x:c>
      <x:c r="D354" s="2" t="s">
        <x:v>295</x:v>
      </x:c>
      <x:c r="E354" s="2" t="s">
        <x:v>296</x:v>
      </x:c>
      <x:c r="F354" s="7">
        <x:v>0.11557000000000001</x:v>
      </x:c>
      <x:c r="G354" s="2" t="s">
        <x:v>297</x:v>
      </x:c>
      <x:c r="H354" s="8">
        <x:v>3.5</x:v>
      </x:c>
      <x:c r="I354" s="9" t="n">
        <x:f t="shared" si="5">IFERROR(ABS(F354)/H354,"")</x:f>
        <x:v>0.03302</x:v>
      </x:c>
      <x:c r="J354" s="2" t="s">
        <x:v>298</x:v>
      </x:c>
      <x:c r="K354" s="8">
        <x:v>0.93478000000000006</x:v>
      </x:c>
      <x:c r="L354" s="2" t="s">
        <x:v>299</x:v>
      </x:c>
      <x:c r="M354" s="2">
        <x:v>1</x:v>
      </x:c>
      <x:c r="N354" s="2" t="s">
        <x:v>79</x:v>
      </x:c>
      <x:c r="O354" s="5">
        <x:v>58.6</x:v>
      </x:c>
      <x:c r="P354" s="2">
        <x:v>537</x:v>
      </x:c>
      <x:c r="Q354" s="2" t="n">
        <x:f>IF(OR(J354="positive",J354="negative"),1,0)</x:f>
        <x:v>1</x:v>
      </x:c>
    </x:row>
    <x:row r="355" ht="15">
      <x:c r="A355" s="2" t="s">
        <x:v>40</x:v>
      </x:c>
      <x:c r="B355" s="2" t="s">
        <x:v>173</x:v>
      </x:c>
      <x:c r="C355" s="2">
        <x:v>4</x:v>
      </x:c>
      <x:c r="D355" s="2" t="s">
        <x:v>300</x:v>
      </x:c>
      <x:c r="E355" s="2" t="s">
        <x:v>301</x:v>
      </x:c>
      <x:c r="F355" s="7">
        <x:v>4.3720000000000002E-2</x:v>
      </x:c>
      <x:c r="G355" s="2" t="s">
        <x:v>302</x:v>
      </x:c>
      <x:c r="H355" s="8">
        <x:v>0.45</x:v>
      </x:c>
      <x:c r="I355" s="9" t="n">
        <x:f t="shared" si="5">IFERROR(ABS(F355)/H355,"")</x:f>
        <x:v>0.09715555555555555</x:v>
      </x:c>
      <x:c r="J355" s="2" t="s">
        <x:v>298</x:v>
      </x:c>
      <x:c r="K355" s="8">
        <x:v>0.88970000000000005</x:v>
      </x:c>
      <x:c r="L355" s="2" t="s">
        <x:v>299</x:v>
      </x:c>
      <x:c r="M355" s="2">
        <x:v>1</x:v>
      </x:c>
      <x:c r="N355" s="2" t="s">
        <x:v>79</x:v>
      </x:c>
      <x:c r="O355" s="5">
        <x:v>58.6</x:v>
      </x:c>
      <x:c r="P355" s="2">
        <x:v>537</x:v>
      </x:c>
      <x:c r="Q355" s="2" t="n">
        <x:f>IF(OR(J355="positive",J355="negative"),1,0)</x:f>
        <x:v>1</x:v>
      </x:c>
    </x:row>
    <x:row r="356" ht="15">
      <x:c r="A356" s="2" t="s">
        <x:v>40</x:v>
      </x:c>
      <x:c r="B356" s="2" t="s">
        <x:v>173</x:v>
      </x:c>
      <x:c r="C356" s="2">
        <x:v>4</x:v>
      </x:c>
      <x:c r="D356" s="2" t="s">
        <x:v>18</x:v>
      </x:c>
      <x:c r="E356" s="2" t="s">
        <x:v>303</x:v>
      </x:c>
      <x:c r="F356" s="7">
        <x:v>-1.746E-2</x:v>
      </x:c>
      <x:c r="G356" s="2" t="s">
        <x:v>304</x:v>
      </x:c>
      <x:c r="H356" s="8">
        <x:v>7.4999999999999997E-2</x:v>
      </x:c>
      <x:c r="I356" s="9" t="n">
        <x:f t="shared" si="5">IFERROR(ABS(F356)/H356,"")</x:f>
        <x:v>0.2328</x:v>
      </x:c>
      <x:c r="J356" s="2" t="s">
        <x:v>298</x:v>
      </x:c>
      <x:c r="K356" s="8">
        <x:v>0.93283000000000005</x:v>
      </x:c>
      <x:c r="L356" s="2" t="s">
        <x:v>299</x:v>
      </x:c>
      <x:c r="M356" s="2">
        <x:v>1</x:v>
      </x:c>
      <x:c r="N356" s="2" t="s">
        <x:v>79</x:v>
      </x:c>
      <x:c r="O356" s="5">
        <x:v>58.6</x:v>
      </x:c>
      <x:c r="P356" s="2">
        <x:v>537</x:v>
      </x:c>
      <x:c r="Q356" s="2" t="n">
        <x:f>IF(OR(J356="positive",J356="negative"),1,0)</x:f>
        <x:v>1</x:v>
      </x:c>
    </x:row>
    <x:row r="357" ht="15">
      <x:c r="A357" s="2" t="s">
        <x:v>40</x:v>
      </x:c>
      <x:c r="B357" s="2" t="s">
        <x:v>173</x:v>
      </x:c>
      <x:c r="C357" s="2">
        <x:v>4</x:v>
      </x:c>
      <x:c r="D357" s="2" t="s">
        <x:v>305</x:v>
      </x:c>
      <x:c r="E357" s="2" t="s">
        <x:v>306</x:v>
      </x:c>
      <x:c r="F357" s="7">
        <x:v>-3.6049999999999999E-2</x:v>
      </x:c>
      <x:c r="G357" s="2" t="s">
        <x:v>304</x:v>
      </x:c>
      <x:c r="H357" s="8">
        <x:v>0.3</x:v>
      </x:c>
      <x:c r="I357" s="9" t="n">
        <x:f t="shared" si="5">IFERROR(ABS(F357)/H357,"")</x:f>
        <x:v>0.12016666666666667</x:v>
      </x:c>
      <x:c r="J357" s="2" t="s">
        <x:v>307</x:v>
      </x:c>
      <x:c r="K357" s="8">
        <x:v>0.43365999999999999</x:v>
      </x:c>
      <x:c r="L357" s="2" t="s">
        <x:v>313</x:v>
      </x:c>
      <x:c r="M357" s="2">
        <x:v>1</x:v>
      </x:c>
      <x:c r="N357" s="2" t="s">
        <x:v>79</x:v>
      </x:c>
      <x:c r="O357" s="5">
        <x:v>58.6</x:v>
      </x:c>
      <x:c r="P357" s="2">
        <x:v>537</x:v>
      </x:c>
      <x:c r="Q357" s="2" t="n">
        <x:f>IF(OR(J357="positive",J357="negative"),1,0)</x:f>
        <x:v>0</x:v>
      </x:c>
    </x:row>
    <x:row r="358" ht="15">
      <x:c r="A358" s="2" t="s">
        <x:v>40</x:v>
      </x:c>
      <x:c r="B358" s="2" t="s">
        <x:v>174</x:v>
      </x:c>
      <x:c r="C358" s="2">
        <x:v>5</x:v>
      </x:c>
      <x:c r="D358" s="2" t="s">
        <x:v>295</x:v>
      </x:c>
      <x:c r="E358" s="2" t="s">
        <x:v>296</x:v>
      </x:c>
      <x:c r="F358" s="7">
        <x:v>9.1910000000000006E-2</x:v>
      </x:c>
      <x:c r="G358" s="2" t="s">
        <x:v>297</x:v>
      </x:c>
      <x:c r="H358" s="8">
        <x:v>3.5</x:v>
      </x:c>
      <x:c r="I358" s="9" t="n">
        <x:f t="shared" si="5">IFERROR(ABS(F358)/H358,"")</x:f>
        <x:v>0.026260000000000002</x:v>
      </x:c>
      <x:c r="J358" s="2" t="s">
        <x:v>298</x:v>
      </x:c>
      <x:c r="K358" s="8">
        <x:v>0.96599999999999997</x:v>
      </x:c>
      <x:c r="L358" s="2" t="s">
        <x:v>299</x:v>
      </x:c>
      <x:c r="M358" s="2">
        <x:v>1</x:v>
      </x:c>
      <x:c r="N358" s="2" t="s">
        <x:v>79</x:v>
      </x:c>
      <x:c r="O358" s="5">
        <x:v>57.8</x:v>
      </x:c>
      <x:c r="P358" s="2">
        <x:v>280</x:v>
      </x:c>
      <x:c r="Q358" s="2" t="n">
        <x:f>IF(OR(J358="positive",J358="negative"),1,0)</x:f>
        <x:v>1</x:v>
      </x:c>
    </x:row>
    <x:row r="359" ht="15">
      <x:c r="A359" s="2" t="s">
        <x:v>40</x:v>
      </x:c>
      <x:c r="B359" s="2" t="s">
        <x:v>174</x:v>
      </x:c>
      <x:c r="C359" s="2">
        <x:v>5</x:v>
      </x:c>
      <x:c r="D359" s="2" t="s">
        <x:v>300</x:v>
      </x:c>
      <x:c r="E359" s="2" t="s">
        <x:v>301</x:v>
      </x:c>
      <x:c r="F359" s="7">
        <x:v>4.9059999999999999E-2</x:v>
      </x:c>
      <x:c r="G359" s="2" t="s">
        <x:v>302</x:v>
      </x:c>
      <x:c r="H359" s="8">
        <x:v>0.45</x:v>
      </x:c>
      <x:c r="I359" s="9" t="n">
        <x:f t="shared" si="5">IFERROR(ABS(F359)/H359,"")</x:f>
        <x:v>0.10902222222222221</x:v>
      </x:c>
      <x:c r="J359" s="2" t="s">
        <x:v>298</x:v>
      </x:c>
      <x:c r="K359" s="8">
        <x:v>0.95350000000000001</x:v>
      </x:c>
      <x:c r="L359" s="2" t="s">
        <x:v>299</x:v>
      </x:c>
      <x:c r="M359" s="2">
        <x:v>1</x:v>
      </x:c>
      <x:c r="N359" s="2" t="s">
        <x:v>79</x:v>
      </x:c>
      <x:c r="O359" s="5">
        <x:v>57.8</x:v>
      </x:c>
      <x:c r="P359" s="2">
        <x:v>280</x:v>
      </x:c>
      <x:c r="Q359" s="2" t="n">
        <x:f>IF(OR(J359="positive",J359="negative"),1,0)</x:f>
        <x:v>1</x:v>
      </x:c>
    </x:row>
    <x:row r="360" ht="15">
      <x:c r="A360" s="2" t="s">
        <x:v>40</x:v>
      </x:c>
      <x:c r="B360" s="2" t="s">
        <x:v>174</x:v>
      </x:c>
      <x:c r="C360" s="2">
        <x:v>5</x:v>
      </x:c>
      <x:c r="D360" s="2" t="s">
        <x:v>18</x:v>
      </x:c>
      <x:c r="E360" s="2" t="s">
        <x:v>303</x:v>
      </x:c>
      <x:c r="F360" s="7">
        <x:v>-7.4099999999999999E-3</x:v>
      </x:c>
      <x:c r="G360" s="2" t="s">
        <x:v>304</x:v>
      </x:c>
      <x:c r="H360" s="8">
        <x:v>7.4999999999999997E-2</x:v>
      </x:c>
      <x:c r="I360" s="9" t="n">
        <x:f t="shared" si="5">IFERROR(ABS(F360)/H360,"")</x:f>
        <x:v>0.0988</x:v>
      </x:c>
      <x:c r="J360" s="2" t="s">
        <x:v>298</x:v>
      </x:c>
      <x:c r="K360" s="8">
        <x:v>0.97209000000000001</x:v>
      </x:c>
      <x:c r="L360" s="2" t="s">
        <x:v>299</x:v>
      </x:c>
      <x:c r="M360" s="2">
        <x:v>1</x:v>
      </x:c>
      <x:c r="N360" s="2" t="s">
        <x:v>79</x:v>
      </x:c>
      <x:c r="O360" s="5">
        <x:v>57.8</x:v>
      </x:c>
      <x:c r="P360" s="2">
        <x:v>280</x:v>
      </x:c>
      <x:c r="Q360" s="2" t="n">
        <x:f>IF(OR(J360="positive",J360="negative"),1,0)</x:f>
        <x:v>1</x:v>
      </x:c>
    </x:row>
    <x:row r="361" ht="15">
      <x:c r="A361" s="2" t="s">
        <x:v>40</x:v>
      </x:c>
      <x:c r="B361" s="2" t="s">
        <x:v>174</x:v>
      </x:c>
      <x:c r="C361" s="2">
        <x:v>5</x:v>
      </x:c>
      <x:c r="D361" s="2" t="s">
        <x:v>305</x:v>
      </x:c>
      <x:c r="E361" s="2" t="s">
        <x:v>306</x:v>
      </x:c>
      <x:c r="F361" s="7">
        <x:v>-2.4199999999999999E-2</x:v>
      </x:c>
      <x:c r="G361" s="2" t="s">
        <x:v>304</x:v>
      </x:c>
      <x:c r="H361" s="8">
        <x:v>0.3</x:v>
      </x:c>
      <x:c r="I361" s="9" t="n">
        <x:f t="shared" si="5">IFERROR(ABS(F361)/H361,"")</x:f>
        <x:v>0.08066666666666666</x:v>
      </x:c>
      <x:c r="J361" s="2" t="s">
        <x:v>298</x:v>
      </x:c>
      <x:c r="K361" s="8">
        <x:v>0.89749000000000001</x:v>
      </x:c>
      <x:c r="L361" s="2" t="s">
        <x:v>299</x:v>
      </x:c>
      <x:c r="M361" s="2">
        <x:v>1</x:v>
      </x:c>
      <x:c r="N361" s="2" t="s">
        <x:v>79</x:v>
      </x:c>
      <x:c r="O361" s="5">
        <x:v>57.8</x:v>
      </x:c>
      <x:c r="P361" s="2">
        <x:v>280</x:v>
      </x:c>
      <x:c r="Q361" s="2" t="n">
        <x:f>IF(OR(J361="positive",J361="negative"),1,0)</x:f>
        <x:v>1</x:v>
      </x:c>
    </x:row>
    <x:row r="362" ht="15">
      <x:c r="A362" s="2" t="s">
        <x:v>41</x:v>
      </x:c>
      <x:c r="B362" s="2" t="s">
        <x:v>175</x:v>
      </x:c>
      <x:c r="C362" s="2">
        <x:v>1</x:v>
      </x:c>
      <x:c r="D362" s="2" t="s">
        <x:v>295</x:v>
      </x:c>
      <x:c r="E362" s="2" t="s">
        <x:v>296</x:v>
      </x:c>
      <x:c r="F362" s="7">
        <x:v>0.87722999999999995</x:v>
      </x:c>
      <x:c r="G362" s="2" t="s">
        <x:v>297</x:v>
      </x:c>
      <x:c r="H362" s="8">
        <x:v>3.5</x:v>
      </x:c>
      <x:c r="I362" s="9" t="n">
        <x:f t="shared" si="5">IFERROR(ABS(F362)/H362,"")</x:f>
        <x:v>0.25063714285714284</x:v>
      </x:c>
      <x:c r="J362" s="2" t="s">
        <x:v>298</x:v>
      </x:c>
      <x:c r="K362" s="8">
        <x:v>0.97999000000000003</x:v>
      </x:c>
      <x:c r="L362" s="2" t="s">
        <x:v>299</x:v>
      </x:c>
      <x:c r="M362" s="2">
        <x:v>1</x:v>
      </x:c>
      <x:c r="N362" s="2" t="s">
        <x:v>79</x:v>
      </x:c>
      <x:c r="O362" s="5">
        <x:v>61.1</x:v>
      </x:c>
      <x:c r="P362" s="2">
        <x:v>618</x:v>
      </x:c>
      <x:c r="Q362" s="2" t="n">
        <x:f>IF(OR(J362="positive",J362="negative"),1,0)</x:f>
        <x:v>1</x:v>
      </x:c>
    </x:row>
    <x:row r="363" ht="15">
      <x:c r="A363" s="2" t="s">
        <x:v>41</x:v>
      </x:c>
      <x:c r="B363" s="2" t="s">
        <x:v>175</x:v>
      </x:c>
      <x:c r="C363" s="2">
        <x:v>1</x:v>
      </x:c>
      <x:c r="D363" s="2" t="s">
        <x:v>300</x:v>
      </x:c>
      <x:c r="E363" s="2" t="s">
        <x:v>301</x:v>
      </x:c>
      <x:c r="F363" s="7">
        <x:v>0.10778</x:v>
      </x:c>
      <x:c r="G363" s="2" t="s">
        <x:v>302</x:v>
      </x:c>
      <x:c r="H363" s="8">
        <x:v>0.45</x:v>
      </x:c>
      <x:c r="I363" s="9" t="n">
        <x:f t="shared" si="5">IFERROR(ABS(F363)/H363,"")</x:f>
        <x:v>0.23951111111111112</x:v>
      </x:c>
      <x:c r="J363" s="2" t="s">
        <x:v>298</x:v>
      </x:c>
      <x:c r="K363" s="8">
        <x:v>0.93154999999999999</x:v>
      </x:c>
      <x:c r="L363" s="2" t="s">
        <x:v>299</x:v>
      </x:c>
      <x:c r="M363" s="2">
        <x:v>1</x:v>
      </x:c>
      <x:c r="N363" s="2" t="s">
        <x:v>79</x:v>
      </x:c>
      <x:c r="O363" s="5">
        <x:v>61.1</x:v>
      </x:c>
      <x:c r="P363" s="2">
        <x:v>618</x:v>
      </x:c>
      <x:c r="Q363" s="2" t="n">
        <x:f>IF(OR(J363="positive",J363="negative"),1,0)</x:f>
        <x:v>1</x:v>
      </x:c>
    </x:row>
    <x:row r="364" ht="15">
      <x:c r="A364" s="2" t="s">
        <x:v>41</x:v>
      </x:c>
      <x:c r="B364" s="2" t="s">
        <x:v>175</x:v>
      </x:c>
      <x:c r="C364" s="2">
        <x:v>1</x:v>
      </x:c>
      <x:c r="D364" s="2" t="s">
        <x:v>18</x:v>
      </x:c>
      <x:c r="E364" s="2" t="s">
        <x:v>303</x:v>
      </x:c>
      <x:c r="F364" s="7">
        <x:v>2.785E-2</x:v>
      </x:c>
      <x:c r="G364" s="2" t="s">
        <x:v>304</x:v>
      </x:c>
      <x:c r="H364" s="8">
        <x:v>7.4999999999999997E-2</x:v>
      </x:c>
      <x:c r="I364" s="9" t="n">
        <x:f t="shared" si="5">IFERROR(ABS(F364)/H364,"")</x:f>
        <x:v>0.37133333333333335</x:v>
      </x:c>
      <x:c r="J364" s="2" t="s">
        <x:v>298</x:v>
      </x:c>
      <x:c r="K364" s="8">
        <x:v>0.93279999999999996</x:v>
      </x:c>
      <x:c r="L364" s="2" t="s">
        <x:v>299</x:v>
      </x:c>
      <x:c r="M364" s="2">
        <x:v>1</x:v>
      </x:c>
      <x:c r="N364" s="2" t="s">
        <x:v>79</x:v>
      </x:c>
      <x:c r="O364" s="5">
        <x:v>61.1</x:v>
      </x:c>
      <x:c r="P364" s="2">
        <x:v>618</x:v>
      </x:c>
      <x:c r="Q364" s="2" t="n">
        <x:f>IF(OR(J364="positive",J364="negative"),1,0)</x:f>
        <x:v>1</x:v>
      </x:c>
    </x:row>
    <x:row r="365" ht="15">
      <x:c r="A365" s="2" t="s">
        <x:v>41</x:v>
      </x:c>
      <x:c r="B365" s="2" t="s">
        <x:v>175</x:v>
      </x:c>
      <x:c r="C365" s="2">
        <x:v>1</x:v>
      </x:c>
      <x:c r="D365" s="2" t="s">
        <x:v>305</x:v>
      </x:c>
      <x:c r="E365" s="2" t="s">
        <x:v>306</x:v>
      </x:c>
      <x:c r="F365" s="7">
        <x:v>-8.8230000000000003E-2</x:v>
      </x:c>
      <x:c r="G365" s="2" t="s">
        <x:v>304</x:v>
      </x:c>
      <x:c r="H365" s="8">
        <x:v>0.3</x:v>
      </x:c>
      <x:c r="I365" s="9" t="n">
        <x:f t="shared" si="5">IFERROR(ABS(F365)/H365,"")</x:f>
        <x:v>0.29410000000000003</x:v>
      </x:c>
      <x:c r="J365" s="2" t="s">
        <x:v>298</x:v>
      </x:c>
      <x:c r="K365" s="8">
        <x:v>0.92464000000000002</x:v>
      </x:c>
      <x:c r="L365" s="2" t="s">
        <x:v>299</x:v>
      </x:c>
      <x:c r="M365" s="2">
        <x:v>1</x:v>
      </x:c>
      <x:c r="N365" s="2" t="s">
        <x:v>79</x:v>
      </x:c>
      <x:c r="O365" s="5">
        <x:v>61.1</x:v>
      </x:c>
      <x:c r="P365" s="2">
        <x:v>618</x:v>
      </x:c>
      <x:c r="Q365" s="2" t="n">
        <x:f>IF(OR(J365="positive",J365="negative"),1,0)</x:f>
        <x:v>1</x:v>
      </x:c>
    </x:row>
    <x:row r="366" ht="15">
      <x:c r="A366" s="2" t="s">
        <x:v>41</x:v>
      </x:c>
      <x:c r="B366" s="2" t="s">
        <x:v>176</x:v>
      </x:c>
      <x:c r="C366" s="2">
        <x:v>2</x:v>
      </x:c>
      <x:c r="D366" s="2" t="s">
        <x:v>295</x:v>
      </x:c>
      <x:c r="E366" s="2" t="s">
        <x:v>296</x:v>
      </x:c>
      <x:c r="F366" s="7">
        <x:v>0.36273</x:v>
      </x:c>
      <x:c r="G366" s="2" t="s">
        <x:v>297</x:v>
      </x:c>
      <x:c r="H366" s="8">
        <x:v>3.5</x:v>
      </x:c>
      <x:c r="I366" s="9" t="n">
        <x:f t="shared" si="5">IFERROR(ABS(F366)/H366,"")</x:f>
        <x:v>0.10363714285714286</x:v>
      </x:c>
      <x:c r="J366" s="2" t="s">
        <x:v>298</x:v>
      </x:c>
      <x:c r="K366" s="8">
        <x:v>0.93096999999999996</x:v>
      </x:c>
      <x:c r="L366" s="2" t="s">
        <x:v>299</x:v>
      </x:c>
      <x:c r="M366" s="2">
        <x:v>1</x:v>
      </x:c>
      <x:c r="N366" s="2" t="s">
        <x:v>79</x:v>
      </x:c>
      <x:c r="O366" s="5">
        <x:v>55.2</x:v>
      </x:c>
      <x:c r="P366" s="2">
        <x:v>432</x:v>
      </x:c>
      <x:c r="Q366" s="2" t="n">
        <x:f>IF(OR(J366="positive",J366="negative"),1,0)</x:f>
        <x:v>1</x:v>
      </x:c>
    </x:row>
    <x:row r="367" ht="15">
      <x:c r="A367" s="2" t="s">
        <x:v>41</x:v>
      </x:c>
      <x:c r="B367" s="2" t="s">
        <x:v>176</x:v>
      </x:c>
      <x:c r="C367" s="2">
        <x:v>2</x:v>
      </x:c>
      <x:c r="D367" s="2" t="s">
        <x:v>300</x:v>
      </x:c>
      <x:c r="E367" s="2" t="s">
        <x:v>301</x:v>
      </x:c>
      <x:c r="F367" s="7">
        <x:v>9.5699999999999993E-2</x:v>
      </x:c>
      <x:c r="G367" s="2" t="s">
        <x:v>302</x:v>
      </x:c>
      <x:c r="H367" s="8">
        <x:v>0.45</x:v>
      </x:c>
      <x:c r="I367" s="9" t="n">
        <x:f t="shared" si="5">IFERROR(ABS(F367)/H367,"")</x:f>
        <x:v>0.21266666666666664</x:v>
      </x:c>
      <x:c r="J367" s="2" t="s">
        <x:v>298</x:v>
      </x:c>
      <x:c r="K367" s="8">
        <x:v>0.94147000000000003</x:v>
      </x:c>
      <x:c r="L367" s="2" t="s">
        <x:v>299</x:v>
      </x:c>
      <x:c r="M367" s="2">
        <x:v>1</x:v>
      </x:c>
      <x:c r="N367" s="2" t="s">
        <x:v>79</x:v>
      </x:c>
      <x:c r="O367" s="5">
        <x:v>55.2</x:v>
      </x:c>
      <x:c r="P367" s="2">
        <x:v>432</x:v>
      </x:c>
      <x:c r="Q367" s="2" t="n">
        <x:f>IF(OR(J367="positive",J367="negative"),1,0)</x:f>
        <x:v>1</x:v>
      </x:c>
    </x:row>
    <x:row r="368" ht="15">
      <x:c r="A368" s="2" t="s">
        <x:v>41</x:v>
      </x:c>
      <x:c r="B368" s="2" t="s">
        <x:v>176</x:v>
      </x:c>
      <x:c r="C368" s="2">
        <x:v>2</x:v>
      </x:c>
      <x:c r="D368" s="2" t="s">
        <x:v>18</x:v>
      </x:c>
      <x:c r="E368" s="2" t="s">
        <x:v>303</x:v>
      </x:c>
      <x:c r="F368" s="7">
        <x:v>3.288E-2</x:v>
      </x:c>
      <x:c r="G368" s="2" t="s">
        <x:v>304</x:v>
      </x:c>
      <x:c r="H368" s="8">
        <x:v>7.4999999999999997E-2</x:v>
      </x:c>
      <x:c r="I368" s="9" t="n">
        <x:f t="shared" si="5">IFERROR(ABS(F368)/H368,"")</x:f>
        <x:v>0.4384</x:v>
      </x:c>
      <x:c r="J368" s="2" t="s">
        <x:v>298</x:v>
      </x:c>
      <x:c r="K368" s="8">
        <x:v>0.95572000000000001</x:v>
      </x:c>
      <x:c r="L368" s="2" t="s">
        <x:v>299</x:v>
      </x:c>
      <x:c r="M368" s="2">
        <x:v>1</x:v>
      </x:c>
      <x:c r="N368" s="2" t="s">
        <x:v>79</x:v>
      </x:c>
      <x:c r="O368" s="5">
        <x:v>55.2</x:v>
      </x:c>
      <x:c r="P368" s="2">
        <x:v>432</x:v>
      </x:c>
      <x:c r="Q368" s="2" t="n">
        <x:f>IF(OR(J368="positive",J368="negative"),1,0)</x:f>
        <x:v>1</x:v>
      </x:c>
    </x:row>
    <x:row r="369" ht="15">
      <x:c r="A369" s="2" t="s">
        <x:v>41</x:v>
      </x:c>
      <x:c r="B369" s="2" t="s">
        <x:v>176</x:v>
      </x:c>
      <x:c r="C369" s="2">
        <x:v>2</x:v>
      </x:c>
      <x:c r="D369" s="2" t="s">
        <x:v>305</x:v>
      </x:c>
      <x:c r="E369" s="2" t="s">
        <x:v>306</x:v>
      </x:c>
      <x:c r="F369" s="7">
        <x:v>-4.6019999999999998E-2</x:v>
      </x:c>
      <x:c r="G369" s="2" t="s">
        <x:v>304</x:v>
      </x:c>
      <x:c r="H369" s="8">
        <x:v>0.3</x:v>
      </x:c>
      <x:c r="I369" s="9" t="n">
        <x:f t="shared" si="5">IFERROR(ABS(F369)/H369,"")</x:f>
        <x:v>0.1534</x:v>
      </x:c>
      <x:c r="J369" s="2" t="s">
        <x:v>298</x:v>
      </x:c>
      <x:c r="K369" s="8">
        <x:v>0.96401999999999999</x:v>
      </x:c>
      <x:c r="L369" s="2" t="s">
        <x:v>299</x:v>
      </x:c>
      <x:c r="M369" s="2">
        <x:v>1</x:v>
      </x:c>
      <x:c r="N369" s="2" t="s">
        <x:v>79</x:v>
      </x:c>
      <x:c r="O369" s="5">
        <x:v>55.2</x:v>
      </x:c>
      <x:c r="P369" s="2">
        <x:v>432</x:v>
      </x:c>
      <x:c r="Q369" s="2" t="n">
        <x:f>IF(OR(J369="positive",J369="negative"),1,0)</x:f>
        <x:v>1</x:v>
      </x:c>
    </x:row>
    <x:row r="370" ht="15">
      <x:c r="A370" s="2" t="s">
        <x:v>41</x:v>
      </x:c>
      <x:c r="B370" s="2" t="s">
        <x:v>177</x:v>
      </x:c>
      <x:c r="C370" s="2">
        <x:v>3</x:v>
      </x:c>
      <x:c r="D370" s="2" t="s">
        <x:v>295</x:v>
      </x:c>
      <x:c r="E370" s="2" t="s">
        <x:v>296</x:v>
      </x:c>
      <x:c r="F370" s="7">
        <x:v>0.19586999999999999</x:v>
      </x:c>
      <x:c r="G370" s="2" t="s">
        <x:v>297</x:v>
      </x:c>
      <x:c r="H370" s="8">
        <x:v>3.5</x:v>
      </x:c>
      <x:c r="I370" s="9" t="n">
        <x:f t="shared" si="5">IFERROR(ABS(F370)/H370,"")</x:f>
        <x:v>0.05596285714285714</x:v>
      </x:c>
      <x:c r="J370" s="2" t="s">
        <x:v>298</x:v>
      </x:c>
      <x:c r="K370" s="8">
        <x:v>0.95321999999999996</x:v>
      </x:c>
      <x:c r="L370" s="2" t="s">
        <x:v>299</x:v>
      </x:c>
      <x:c r="M370" s="2">
        <x:v>1</x:v>
      </x:c>
      <x:c r="N370" s="2" t="s">
        <x:v>79</x:v>
      </x:c>
      <x:c r="O370" s="5">
        <x:v>59.7</x:v>
      </x:c>
      <x:c r="P370" s="2">
        <x:v>492</x:v>
      </x:c>
      <x:c r="Q370" s="2" t="n">
        <x:f>IF(OR(J370="positive",J370="negative"),1,0)</x:f>
        <x:v>1</x:v>
      </x:c>
    </x:row>
    <x:row r="371" ht="15">
      <x:c r="A371" s="2" t="s">
        <x:v>41</x:v>
      </x:c>
      <x:c r="B371" s="2" t="s">
        <x:v>177</x:v>
      </x:c>
      <x:c r="C371" s="2">
        <x:v>3</x:v>
      </x:c>
      <x:c r="D371" s="2" t="s">
        <x:v>300</x:v>
      </x:c>
      <x:c r="E371" s="2" t="s">
        <x:v>301</x:v>
      </x:c>
      <x:c r="F371" s="7">
        <x:v>7.4310000000000001E-2</x:v>
      </x:c>
      <x:c r="G371" s="2" t="s">
        <x:v>302</x:v>
      </x:c>
      <x:c r="H371" s="8">
        <x:v>0.45</x:v>
      </x:c>
      <x:c r="I371" s="9" t="n">
        <x:f t="shared" si="5">IFERROR(ABS(F371)/H371,"")</x:f>
        <x:v>0.16513333333333333</x:v>
      </x:c>
      <x:c r="J371" s="2" t="s">
        <x:v>298</x:v>
      </x:c>
      <x:c r="K371" s="8">
        <x:v>0.89898</x:v>
      </x:c>
      <x:c r="L371" s="2" t="s">
        <x:v>299</x:v>
      </x:c>
      <x:c r="M371" s="2">
        <x:v>1</x:v>
      </x:c>
      <x:c r="N371" s="2" t="s">
        <x:v>79</x:v>
      </x:c>
      <x:c r="O371" s="5">
        <x:v>59.7</x:v>
      </x:c>
      <x:c r="P371" s="2">
        <x:v>492</x:v>
      </x:c>
      <x:c r="Q371" s="2" t="n">
        <x:f>IF(OR(J371="positive",J371="negative"),1,0)</x:f>
        <x:v>1</x:v>
      </x:c>
    </x:row>
    <x:row r="372" ht="15">
      <x:c r="A372" s="2" t="s">
        <x:v>41</x:v>
      </x:c>
      <x:c r="B372" s="2" t="s">
        <x:v>177</x:v>
      </x:c>
      <x:c r="C372" s="2">
        <x:v>3</x:v>
      </x:c>
      <x:c r="D372" s="2" t="s">
        <x:v>18</x:v>
      </x:c>
      <x:c r="E372" s="2" t="s">
        <x:v>303</x:v>
      </x:c>
      <x:c r="F372" s="7">
        <x:v>9.6600000000000002E-3</x:v>
      </x:c>
      <x:c r="G372" s="2" t="s">
        <x:v>304</x:v>
      </x:c>
      <x:c r="H372" s="8">
        <x:v>7.4999999999999997E-2</x:v>
      </x:c>
      <x:c r="I372" s="9" t="n">
        <x:f t="shared" si="5">IFERROR(ABS(F372)/H372,"")</x:f>
        <x:v>0.1288</x:v>
      </x:c>
      <x:c r="J372" s="2" t="s">
        <x:v>298</x:v>
      </x:c>
      <x:c r="K372" s="8">
        <x:v>0.95665999999999995</x:v>
      </x:c>
      <x:c r="L372" s="2" t="s">
        <x:v>299</x:v>
      </x:c>
      <x:c r="M372" s="2">
        <x:v>1</x:v>
      </x:c>
      <x:c r="N372" s="2" t="s">
        <x:v>79</x:v>
      </x:c>
      <x:c r="O372" s="5">
        <x:v>59.7</x:v>
      </x:c>
      <x:c r="P372" s="2">
        <x:v>492</x:v>
      </x:c>
      <x:c r="Q372" s="2" t="n">
        <x:f>IF(OR(J372="positive",J372="negative"),1,0)</x:f>
        <x:v>1</x:v>
      </x:c>
    </x:row>
    <x:row r="373" ht="15">
      <x:c r="A373" s="2" t="s">
        <x:v>41</x:v>
      </x:c>
      <x:c r="B373" s="2" t="s">
        <x:v>177</x:v>
      </x:c>
      <x:c r="C373" s="2">
        <x:v>3</x:v>
      </x:c>
      <x:c r="D373" s="2" t="s">
        <x:v>305</x:v>
      </x:c>
      <x:c r="E373" s="2" t="s">
        <x:v>306</x:v>
      </x:c>
      <x:c r="F373" s="7">
        <x:v>-7.6789999999999997E-2</x:v>
      </x:c>
      <x:c r="G373" s="2" t="s">
        <x:v>304</x:v>
      </x:c>
      <x:c r="H373" s="8">
        <x:v>0.3</x:v>
      </x:c>
      <x:c r="I373" s="9" t="n">
        <x:f t="shared" si="5">IFERROR(ABS(F373)/H373,"")</x:f>
        <x:v>0.2559666666666667</x:v>
      </x:c>
      <x:c r="J373" s="2" t="s">
        <x:v>298</x:v>
      </x:c>
      <x:c r="K373" s="8">
        <x:v>0.92708000000000002</x:v>
      </x:c>
      <x:c r="L373" s="2" t="s">
        <x:v>299</x:v>
      </x:c>
      <x:c r="M373" s="2">
        <x:v>1</x:v>
      </x:c>
      <x:c r="N373" s="2" t="s">
        <x:v>79</x:v>
      </x:c>
      <x:c r="O373" s="5">
        <x:v>59.7</x:v>
      </x:c>
      <x:c r="P373" s="2">
        <x:v>492</x:v>
      </x:c>
      <x:c r="Q373" s="2" t="n">
        <x:f>IF(OR(J373="positive",J373="negative"),1,0)</x:f>
        <x:v>1</x:v>
      </x:c>
    </x:row>
    <x:row r="374" ht="15">
      <x:c r="A374" s="2" t="s">
        <x:v>41</x:v>
      </x:c>
      <x:c r="B374" s="2" t="s">
        <x:v>178</x:v>
      </x:c>
      <x:c r="C374" s="2">
        <x:v>4</x:v>
      </x:c>
      <x:c r="D374" s="2" t="s">
        <x:v>295</x:v>
      </x:c>
      <x:c r="E374" s="2" t="s">
        <x:v>296</x:v>
      </x:c>
      <x:c r="F374" s="7">
        <x:v>0.57365999999999995</x:v>
      </x:c>
      <x:c r="G374" s="2" t="s">
        <x:v>297</x:v>
      </x:c>
      <x:c r="H374" s="8">
        <x:v>3.5</x:v>
      </x:c>
      <x:c r="I374" s="9" t="n">
        <x:f t="shared" si="5">IFERROR(ABS(F374)/H374,"")</x:f>
        <x:v>0.16390285714285713</x:v>
      </x:c>
      <x:c r="J374" s="2" t="s">
        <x:v>298</x:v>
      </x:c>
      <x:c r="K374" s="8">
        <x:v>0.89129000000000003</x:v>
      </x:c>
      <x:c r="L374" s="2" t="s">
        <x:v>299</x:v>
      </x:c>
      <x:c r="M374" s="2">
        <x:v>1</x:v>
      </x:c>
      <x:c r="N374" s="2" t="s">
        <x:v>79</x:v>
      </x:c>
      <x:c r="O374" s="5">
        <x:v>63</x:v>
      </x:c>
      <x:c r="P374" s="2">
        <x:v>392</x:v>
      </x:c>
      <x:c r="Q374" s="2" t="n">
        <x:f>IF(OR(J374="positive",J374="negative"),1,0)</x:f>
        <x:v>1</x:v>
      </x:c>
    </x:row>
    <x:row r="375" ht="15">
      <x:c r="A375" s="2" t="s">
        <x:v>41</x:v>
      </x:c>
      <x:c r="B375" s="2" t="s">
        <x:v>178</x:v>
      </x:c>
      <x:c r="C375" s="2">
        <x:v>4</x:v>
      </x:c>
      <x:c r="D375" s="2" t="s">
        <x:v>300</x:v>
      </x:c>
      <x:c r="E375" s="2" t="s">
        <x:v>301</x:v>
      </x:c>
      <x:c r="F375" s="7">
        <x:v>8.1989999999999993E-2</x:v>
      </x:c>
      <x:c r="G375" s="2" t="s">
        <x:v>302</x:v>
      </x:c>
      <x:c r="H375" s="8">
        <x:v>0.45</x:v>
      </x:c>
      <x:c r="I375" s="9" t="n">
        <x:f t="shared" si="5">IFERROR(ABS(F375)/H375,"")</x:f>
        <x:v>0.18219999999999997</x:v>
      </x:c>
      <x:c r="J375" s="2" t="s">
        <x:v>298</x:v>
      </x:c>
      <x:c r="K375" s="8">
        <x:v>0.93830999999999998</x:v>
      </x:c>
      <x:c r="L375" s="2" t="s">
        <x:v>299</x:v>
      </x:c>
      <x:c r="M375" s="2">
        <x:v>1</x:v>
      </x:c>
      <x:c r="N375" s="2" t="s">
        <x:v>79</x:v>
      </x:c>
      <x:c r="O375" s="5">
        <x:v>63</x:v>
      </x:c>
      <x:c r="P375" s="2">
        <x:v>392</x:v>
      </x:c>
      <x:c r="Q375" s="2" t="n">
        <x:f>IF(OR(J375="positive",J375="negative"),1,0)</x:f>
        <x:v>1</x:v>
      </x:c>
    </x:row>
    <x:row r="376" ht="15">
      <x:c r="A376" s="2" t="s">
        <x:v>41</x:v>
      </x:c>
      <x:c r="B376" s="2" t="s">
        <x:v>178</x:v>
      </x:c>
      <x:c r="C376" s="2">
        <x:v>4</x:v>
      </x:c>
      <x:c r="D376" s="2" t="s">
        <x:v>18</x:v>
      </x:c>
      <x:c r="E376" s="2" t="s">
        <x:v>303</x:v>
      </x:c>
      <x:c r="F376" s="7">
        <x:v>1.2760000000000001E-2</x:v>
      </x:c>
      <x:c r="G376" s="2" t="s">
        <x:v>304</x:v>
      </x:c>
      <x:c r="H376" s="8">
        <x:v>7.4999999999999997E-2</x:v>
      </x:c>
      <x:c r="I376" s="9" t="n">
        <x:f t="shared" si="5">IFERROR(ABS(F376)/H376,"")</x:f>
        <x:v>0.17013333333333336</x:v>
      </x:c>
      <x:c r="J376" s="2" t="s">
        <x:v>298</x:v>
      </x:c>
      <x:c r="K376" s="8">
        <x:v>0.93537999999999999</x:v>
      </x:c>
      <x:c r="L376" s="2" t="s">
        <x:v>299</x:v>
      </x:c>
      <x:c r="M376" s="2">
        <x:v>1</x:v>
      </x:c>
      <x:c r="N376" s="2" t="s">
        <x:v>79</x:v>
      </x:c>
      <x:c r="O376" s="5">
        <x:v>63</x:v>
      </x:c>
      <x:c r="P376" s="2">
        <x:v>392</x:v>
      </x:c>
      <x:c r="Q376" s="2" t="n">
        <x:f>IF(OR(J376="positive",J376="negative"),1,0)</x:f>
        <x:v>1</x:v>
      </x:c>
    </x:row>
    <x:row r="377" ht="15">
      <x:c r="A377" s="2" t="s">
        <x:v>41</x:v>
      </x:c>
      <x:c r="B377" s="2" t="s">
        <x:v>178</x:v>
      </x:c>
      <x:c r="C377" s="2">
        <x:v>4</x:v>
      </x:c>
      <x:c r="D377" s="2" t="s">
        <x:v>305</x:v>
      </x:c>
      <x:c r="E377" s="2" t="s">
        <x:v>306</x:v>
      </x:c>
      <x:c r="F377" s="7">
        <x:v>-7.4709999999999999E-2</x:v>
      </x:c>
      <x:c r="G377" s="2" t="s">
        <x:v>304</x:v>
      </x:c>
      <x:c r="H377" s="8">
        <x:v>0.3</x:v>
      </x:c>
      <x:c r="I377" s="9" t="n">
        <x:f t="shared" si="5">IFERROR(ABS(F377)/H377,"")</x:f>
        <x:v>0.24903333333333333</x:v>
      </x:c>
      <x:c r="J377" s="2" t="s">
        <x:v>298</x:v>
      </x:c>
      <x:c r="K377" s="8">
        <x:v>0.88226000000000004</x:v>
      </x:c>
      <x:c r="L377" s="2" t="s">
        <x:v>299</x:v>
      </x:c>
      <x:c r="M377" s="2">
        <x:v>1</x:v>
      </x:c>
      <x:c r="N377" s="2" t="s">
        <x:v>79</x:v>
      </x:c>
      <x:c r="O377" s="5">
        <x:v>63</x:v>
      </x:c>
      <x:c r="P377" s="2">
        <x:v>392</x:v>
      </x:c>
      <x:c r="Q377" s="2" t="n">
        <x:f>IF(OR(J377="positive",J377="negative"),1,0)</x:f>
        <x:v>1</x:v>
      </x:c>
    </x:row>
    <x:row r="378" ht="15">
      <x:c r="A378" s="2" t="s">
        <x:v>41</x:v>
      </x:c>
      <x:c r="B378" s="2" t="s">
        <x:v>179</x:v>
      </x:c>
      <x:c r="C378" s="2">
        <x:v>5</x:v>
      </x:c>
      <x:c r="D378" s="2" t="s">
        <x:v>295</x:v>
      </x:c>
      <x:c r="E378" s="2" t="s">
        <x:v>296</x:v>
      </x:c>
      <x:c r="F378" s="7">
        <x:v>0.23998</x:v>
      </x:c>
      <x:c r="G378" s="2" t="s">
        <x:v>297</x:v>
      </x:c>
      <x:c r="H378" s="8">
        <x:v>3.5</x:v>
      </x:c>
      <x:c r="I378" s="9" t="n">
        <x:f t="shared" si="5">IFERROR(ABS(F378)/H378,"")</x:f>
        <x:v>0.06856571428571429</x:v>
      </x:c>
      <x:c r="J378" s="2" t="s">
        <x:v>298</x:v>
      </x:c>
      <x:c r="K378" s="8">
        <x:v>0.94225000000000003</x:v>
      </x:c>
      <x:c r="L378" s="2" t="s">
        <x:v>299</x:v>
      </x:c>
      <x:c r="M378" s="2">
        <x:v>1</x:v>
      </x:c>
      <x:c r="N378" s="2" t="s">
        <x:v>79</x:v>
      </x:c>
      <x:c r="O378" s="5">
        <x:v>60.9</x:v>
      </x:c>
      <x:c r="P378" s="2">
        <x:v>467</x:v>
      </x:c>
      <x:c r="Q378" s="2" t="n">
        <x:f>IF(OR(J378="positive",J378="negative"),1,0)</x:f>
        <x:v>1</x:v>
      </x:c>
    </x:row>
    <x:row r="379" ht="15">
      <x:c r="A379" s="2" t="s">
        <x:v>41</x:v>
      </x:c>
      <x:c r="B379" s="2" t="s">
        <x:v>179</x:v>
      </x:c>
      <x:c r="C379" s="2">
        <x:v>5</x:v>
      </x:c>
      <x:c r="D379" s="2" t="s">
        <x:v>300</x:v>
      </x:c>
      <x:c r="E379" s="2" t="s">
        <x:v>301</x:v>
      </x:c>
      <x:c r="F379" s="7">
        <x:v>4.9480000000000003E-2</x:v>
      </x:c>
      <x:c r="G379" s="2" t="s">
        <x:v>302</x:v>
      </x:c>
      <x:c r="H379" s="8">
        <x:v>0.45</x:v>
      </x:c>
      <x:c r="I379" s="9" t="n">
        <x:f t="shared" si="5">IFERROR(ABS(F379)/H379,"")</x:f>
        <x:v>0.10995555555555556</x:v>
      </x:c>
      <x:c r="J379" s="2" t="s">
        <x:v>298</x:v>
      </x:c>
      <x:c r="K379" s="8">
        <x:v>0.93869999999999998</x:v>
      </x:c>
      <x:c r="L379" s="2" t="s">
        <x:v>299</x:v>
      </x:c>
      <x:c r="M379" s="2">
        <x:v>1</x:v>
      </x:c>
      <x:c r="N379" s="2" t="s">
        <x:v>79</x:v>
      </x:c>
      <x:c r="O379" s="5">
        <x:v>60.9</x:v>
      </x:c>
      <x:c r="P379" s="2">
        <x:v>467</x:v>
      </x:c>
      <x:c r="Q379" s="2" t="n">
        <x:f>IF(OR(J379="positive",J379="negative"),1,0)</x:f>
        <x:v>1</x:v>
      </x:c>
    </x:row>
    <x:row r="380" ht="15">
      <x:c r="A380" s="2" t="s">
        <x:v>41</x:v>
      </x:c>
      <x:c r="B380" s="2" t="s">
        <x:v>179</x:v>
      </x:c>
      <x:c r="C380" s="2">
        <x:v>5</x:v>
      </x:c>
      <x:c r="D380" s="2" t="s">
        <x:v>18</x:v>
      </x:c>
      <x:c r="E380" s="2" t="s">
        <x:v>303</x:v>
      </x:c>
      <x:c r="F380" s="7">
        <x:v>1.6910000000000001E-2</x:v>
      </x:c>
      <x:c r="G380" s="2" t="s">
        <x:v>304</x:v>
      </x:c>
      <x:c r="H380" s="8">
        <x:v>7.4999999999999997E-2</x:v>
      </x:c>
      <x:c r="I380" s="9" t="n">
        <x:f t="shared" si="5">IFERROR(ABS(F380)/H380,"")</x:f>
        <x:v>0.2254666666666667</x:v>
      </x:c>
      <x:c r="J380" s="2" t="s">
        <x:v>298</x:v>
      </x:c>
      <x:c r="K380" s="8">
        <x:v>0.95404</x:v>
      </x:c>
      <x:c r="L380" s="2" t="s">
        <x:v>299</x:v>
      </x:c>
      <x:c r="M380" s="2">
        <x:v>1</x:v>
      </x:c>
      <x:c r="N380" s="2" t="s">
        <x:v>79</x:v>
      </x:c>
      <x:c r="O380" s="5">
        <x:v>60.9</x:v>
      </x:c>
      <x:c r="P380" s="2">
        <x:v>467</x:v>
      </x:c>
      <x:c r="Q380" s="2" t="n">
        <x:f>IF(OR(J380="positive",J380="negative"),1,0)</x:f>
        <x:v>1</x:v>
      </x:c>
    </x:row>
    <x:row r="381" ht="15">
      <x:c r="A381" s="2" t="s">
        <x:v>41</x:v>
      </x:c>
      <x:c r="B381" s="2" t="s">
        <x:v>179</x:v>
      </x:c>
      <x:c r="C381" s="2">
        <x:v>5</x:v>
      </x:c>
      <x:c r="D381" s="2" t="s">
        <x:v>305</x:v>
      </x:c>
      <x:c r="E381" s="2" t="s">
        <x:v>306</x:v>
      </x:c>
      <x:c r="F381" s="7">
        <x:v>-9.2170000000000002E-2</x:v>
      </x:c>
      <x:c r="G381" s="2" t="s">
        <x:v>304</x:v>
      </x:c>
      <x:c r="H381" s="8">
        <x:v>0.3</x:v>
      </x:c>
      <x:c r="I381" s="9" t="n">
        <x:f t="shared" si="5">IFERROR(ABS(F381)/H381,"")</x:f>
        <x:v>0.30723333333333336</x:v>
      </x:c>
      <x:c r="J381" s="2" t="s">
        <x:v>298</x:v>
      </x:c>
      <x:c r="K381" s="8">
        <x:v>0.91088000000000002</x:v>
      </x:c>
      <x:c r="L381" s="2" t="s">
        <x:v>299</x:v>
      </x:c>
      <x:c r="M381" s="2">
        <x:v>1</x:v>
      </x:c>
      <x:c r="N381" s="2" t="s">
        <x:v>79</x:v>
      </x:c>
      <x:c r="O381" s="5">
        <x:v>60.9</x:v>
      </x:c>
      <x:c r="P381" s="2">
        <x:v>467</x:v>
      </x:c>
      <x:c r="Q381" s="2" t="n">
        <x:f>IF(OR(J381="positive",J381="negative"),1,0)</x:f>
        <x:v>1</x:v>
      </x:c>
    </x:row>
    <x:row r="382" ht="15">
      <x:c r="A382" s="2" t="s">
        <x:v>42</x:v>
      </x:c>
      <x:c r="B382" s="2" t="s">
        <x:v>180</x:v>
      </x:c>
      <x:c r="C382" s="2">
        <x:v>1</x:v>
      </x:c>
      <x:c r="D382" s="2" t="s">
        <x:v>295</x:v>
      </x:c>
      <x:c r="E382" s="2" t="s">
        <x:v>296</x:v>
      </x:c>
      <x:c r="F382" s="7">
        <x:v>1.7229999999999999E-2</x:v>
      </x:c>
      <x:c r="G382" s="2" t="s">
        <x:v>297</x:v>
      </x:c>
      <x:c r="H382" s="8">
        <x:v>3.5</x:v>
      </x:c>
      <x:c r="I382" s="9" t="n">
        <x:f t="shared" si="5">IFERROR(ABS(F382)/H382,"")</x:f>
        <x:v>0.004922857142857143</x:v>
      </x:c>
      <x:c r="J382" s="2" t="s">
        <x:v>298</x:v>
      </x:c>
      <x:c r="K382" s="8">
        <x:v>0.91461999999999999</x:v>
      </x:c>
      <x:c r="L382" s="2" t="s">
        <x:v>299</x:v>
      </x:c>
      <x:c r="M382" s="2">
        <x:v>1</x:v>
      </x:c>
      <x:c r="N382" s="2" t="s">
        <x:v>79</x:v>
      </x:c>
      <x:c r="O382" s="5">
        <x:v>63.8</x:v>
      </x:c>
      <x:c r="P382" s="2">
        <x:v>355</x:v>
      </x:c>
      <x:c r="Q382" s="2" t="n">
        <x:f>IF(OR(J382="positive",J382="negative"),1,0)</x:f>
        <x:v>1</x:v>
      </x:c>
    </x:row>
    <x:row r="383" ht="15">
      <x:c r="A383" s="2" t="s">
        <x:v>42</x:v>
      </x:c>
      <x:c r="B383" s="2" t="s">
        <x:v>180</x:v>
      </x:c>
      <x:c r="C383" s="2">
        <x:v>1</x:v>
      </x:c>
      <x:c r="D383" s="2" t="s">
        <x:v>300</x:v>
      </x:c>
      <x:c r="E383" s="2" t="s">
        <x:v>301</x:v>
      </x:c>
      <x:c r="F383" s="7">
        <x:v>7.7289999999999998E-2</x:v>
      </x:c>
      <x:c r="G383" s="2" t="s">
        <x:v>302</x:v>
      </x:c>
      <x:c r="H383" s="8">
        <x:v>0.45</x:v>
      </x:c>
      <x:c r="I383" s="9" t="n">
        <x:f t="shared" si="5">IFERROR(ABS(F383)/H383,"")</x:f>
        <x:v>0.17175555555555555</x:v>
      </x:c>
      <x:c r="J383" s="2" t="s">
        <x:v>298</x:v>
      </x:c>
      <x:c r="K383" s="8">
        <x:v>0.93311999999999995</x:v>
      </x:c>
      <x:c r="L383" s="2" t="s">
        <x:v>299</x:v>
      </x:c>
      <x:c r="M383" s="2">
        <x:v>1</x:v>
      </x:c>
      <x:c r="N383" s="2" t="s">
        <x:v>79</x:v>
      </x:c>
      <x:c r="O383" s="5">
        <x:v>63.8</x:v>
      </x:c>
      <x:c r="P383" s="2">
        <x:v>355</x:v>
      </x:c>
      <x:c r="Q383" s="2" t="n">
        <x:f>IF(OR(J383="positive",J383="negative"),1,0)</x:f>
        <x:v>1</x:v>
      </x:c>
    </x:row>
    <x:row r="384" ht="15">
      <x:c r="A384" s="2" t="s">
        <x:v>42</x:v>
      </x:c>
      <x:c r="B384" s="2" t="s">
        <x:v>180</x:v>
      </x:c>
      <x:c r="C384" s="2">
        <x:v>1</x:v>
      </x:c>
      <x:c r="D384" s="2" t="s">
        <x:v>18</x:v>
      </x:c>
      <x:c r="E384" s="2" t="s">
        <x:v>303</x:v>
      </x:c>
      <x:c r="F384" s="7">
        <x:v>-1.4420000000000001E-2</x:v>
      </x:c>
      <x:c r="G384" s="2" t="s">
        <x:v>304</x:v>
      </x:c>
      <x:c r="H384" s="8">
        <x:v>7.4999999999999997E-2</x:v>
      </x:c>
      <x:c r="I384" s="9" t="n">
        <x:f t="shared" si="5">IFERROR(ABS(F384)/H384,"")</x:f>
        <x:v>0.19226666666666667</x:v>
      </x:c>
      <x:c r="J384" s="2" t="s">
        <x:v>298</x:v>
      </x:c>
      <x:c r="K384" s="8">
        <x:v>0.91581999999999997</x:v>
      </x:c>
      <x:c r="L384" s="2" t="s">
        <x:v>299</x:v>
      </x:c>
      <x:c r="M384" s="2">
        <x:v>1</x:v>
      </x:c>
      <x:c r="N384" s="2" t="s">
        <x:v>79</x:v>
      </x:c>
      <x:c r="O384" s="5">
        <x:v>63.8</x:v>
      </x:c>
      <x:c r="P384" s="2">
        <x:v>355</x:v>
      </x:c>
      <x:c r="Q384" s="2" t="n">
        <x:f>IF(OR(J384="positive",J384="negative"),1,0)</x:f>
        <x:v>1</x:v>
      </x:c>
    </x:row>
    <x:row r="385" ht="15">
      <x:c r="A385" s="2" t="s">
        <x:v>42</x:v>
      </x:c>
      <x:c r="B385" s="2" t="s">
        <x:v>180</x:v>
      </x:c>
      <x:c r="C385" s="2">
        <x:v>1</x:v>
      </x:c>
      <x:c r="D385" s="2" t="s">
        <x:v>305</x:v>
      </x:c>
      <x:c r="E385" s="2" t="s">
        <x:v>306</x:v>
      </x:c>
      <x:c r="F385" s="7">
        <x:v>-5.5390000000000002E-2</x:v>
      </x:c>
      <x:c r="G385" s="2" t="s">
        <x:v>304</x:v>
      </x:c>
      <x:c r="H385" s="8">
        <x:v>0.3</x:v>
      </x:c>
      <x:c r="I385" s="9" t="n">
        <x:f t="shared" si="5">IFERROR(ABS(F385)/H385,"")</x:f>
        <x:v>0.18463333333333334</x:v>
      </x:c>
      <x:c r="J385" s="2" t="s">
        <x:v>298</x:v>
      </x:c>
      <x:c r="K385" s="8">
        <x:v>0.96297999999999995</x:v>
      </x:c>
      <x:c r="L385" s="2" t="s">
        <x:v>299</x:v>
      </x:c>
      <x:c r="M385" s="2">
        <x:v>1</x:v>
      </x:c>
      <x:c r="N385" s="2" t="s">
        <x:v>79</x:v>
      </x:c>
      <x:c r="O385" s="5">
        <x:v>63.8</x:v>
      </x:c>
      <x:c r="P385" s="2">
        <x:v>355</x:v>
      </x:c>
      <x:c r="Q385" s="2" t="n">
        <x:f>IF(OR(J385="positive",J385="negative"),1,0)</x:f>
        <x:v>1</x:v>
      </x:c>
    </x:row>
    <x:row r="386" ht="15">
      <x:c r="A386" s="2" t="s">
        <x:v>42</x:v>
      </x:c>
      <x:c r="B386" s="2" t="s">
        <x:v>181</x:v>
      </x:c>
      <x:c r="C386" s="2">
        <x:v>2</x:v>
      </x:c>
      <x:c r="D386" s="2" t="s">
        <x:v>295</x:v>
      </x:c>
      <x:c r="E386" s="2" t="s">
        <x:v>296</x:v>
      </x:c>
      <x:c r="F386" s="7">
        <x:v>0.44864999999999999</x:v>
      </x:c>
      <x:c r="G386" s="2" t="s">
        <x:v>297</x:v>
      </x:c>
      <x:c r="H386" s="8">
        <x:v>3.5</x:v>
      </x:c>
      <x:c r="I386" s="9" t="n">
        <x:f t="shared" ref="I386:I449" si="6">IFERROR(ABS(F386)/H386,"")</x:f>
        <x:v>0.1281857142857143</x:v>
      </x:c>
      <x:c r="J386" s="2" t="s">
        <x:v>298</x:v>
      </x:c>
      <x:c r="K386" s="8">
        <x:v>0.92113999999999996</x:v>
      </x:c>
      <x:c r="L386" s="2" t="s">
        <x:v>299</x:v>
      </x:c>
      <x:c r="M386" s="2">
        <x:v>1</x:v>
      </x:c>
      <x:c r="N386" s="2" t="s">
        <x:v>79</x:v>
      </x:c>
      <x:c r="O386" s="5">
        <x:v>58.1</x:v>
      </x:c>
      <x:c r="P386" s="2">
        <x:v>561</x:v>
      </x:c>
      <x:c r="Q386" s="2" t="n">
        <x:f>IF(OR(J386="positive",J386="negative"),1,0)</x:f>
        <x:v>1</x:v>
      </x:c>
    </x:row>
    <x:row r="387" ht="15">
      <x:c r="A387" s="2" t="s">
        <x:v>42</x:v>
      </x:c>
      <x:c r="B387" s="2" t="s">
        <x:v>181</x:v>
      </x:c>
      <x:c r="C387" s="2">
        <x:v>2</x:v>
      </x:c>
      <x:c r="D387" s="2" t="s">
        <x:v>300</x:v>
      </x:c>
      <x:c r="E387" s="2" t="s">
        <x:v>301</x:v>
      </x:c>
      <x:c r="F387" s="7">
        <x:v>2.8539999999999999E-2</x:v>
      </x:c>
      <x:c r="G387" s="2" t="s">
        <x:v>302</x:v>
      </x:c>
      <x:c r="H387" s="8">
        <x:v>0.45</x:v>
      </x:c>
      <x:c r="I387" s="9" t="n">
        <x:f t="shared" si="6">IFERROR(ABS(F387)/H387,"")</x:f>
        <x:v>0.06342222222222221</x:v>
      </x:c>
      <x:c r="J387" s="2" t="s">
        <x:v>298</x:v>
      </x:c>
      <x:c r="K387" s="8">
        <x:v>0.96123000000000003</x:v>
      </x:c>
      <x:c r="L387" s="2" t="s">
        <x:v>299</x:v>
      </x:c>
      <x:c r="M387" s="2">
        <x:v>1</x:v>
      </x:c>
      <x:c r="N387" s="2" t="s">
        <x:v>79</x:v>
      </x:c>
      <x:c r="O387" s="5">
        <x:v>58.1</x:v>
      </x:c>
      <x:c r="P387" s="2">
        <x:v>561</x:v>
      </x:c>
      <x:c r="Q387" s="2" t="n">
        <x:f>IF(OR(J387="positive",J387="negative"),1,0)</x:f>
        <x:v>1</x:v>
      </x:c>
    </x:row>
    <x:row r="388" ht="15">
      <x:c r="A388" s="2" t="s">
        <x:v>42</x:v>
      </x:c>
      <x:c r="B388" s="2" t="s">
        <x:v>181</x:v>
      </x:c>
      <x:c r="C388" s="2">
        <x:v>2</x:v>
      </x:c>
      <x:c r="D388" s="2" t="s">
        <x:v>18</x:v>
      </x:c>
      <x:c r="E388" s="2" t="s">
        <x:v>303</x:v>
      </x:c>
      <x:c r="F388" s="7">
        <x:v>-2.5170000000000001E-2</x:v>
      </x:c>
      <x:c r="G388" s="2" t="s">
        <x:v>304</x:v>
      </x:c>
      <x:c r="H388" s="8">
        <x:v>7.4999999999999997E-2</x:v>
      </x:c>
      <x:c r="I388" s="9" t="n">
        <x:f t="shared" si="6">IFERROR(ABS(F388)/H388,"")</x:f>
        <x:v>0.3356</x:v>
      </x:c>
      <x:c r="J388" s="2" t="s">
        <x:v>298</x:v>
      </x:c>
      <x:c r="K388" s="8">
        <x:v>0.92093999999999998</x:v>
      </x:c>
      <x:c r="L388" s="2" t="s">
        <x:v>299</x:v>
      </x:c>
      <x:c r="M388" s="2">
        <x:v>1</x:v>
      </x:c>
      <x:c r="N388" s="2" t="s">
        <x:v>79</x:v>
      </x:c>
      <x:c r="O388" s="5">
        <x:v>58.1</x:v>
      </x:c>
      <x:c r="P388" s="2">
        <x:v>561</x:v>
      </x:c>
      <x:c r="Q388" s="2" t="n">
        <x:f>IF(OR(J388="positive",J388="negative"),1,0)</x:f>
        <x:v>1</x:v>
      </x:c>
    </x:row>
    <x:row r="389" ht="15">
      <x:c r="A389" s="2" t="s">
        <x:v>42</x:v>
      </x:c>
      <x:c r="B389" s="2" t="s">
        <x:v>181</x:v>
      </x:c>
      <x:c r="C389" s="2">
        <x:v>2</x:v>
      </x:c>
      <x:c r="D389" s="2" t="s">
        <x:v>305</x:v>
      </x:c>
      <x:c r="E389" s="2" t="s">
        <x:v>306</x:v>
      </x:c>
      <x:c r="F389" s="7">
        <x:v>-6.1129999999999997E-2</x:v>
      </x:c>
      <x:c r="G389" s="2" t="s">
        <x:v>304</x:v>
      </x:c>
      <x:c r="H389" s="8">
        <x:v>0.3</x:v>
      </x:c>
      <x:c r="I389" s="9" t="n">
        <x:f t="shared" si="6">IFERROR(ABS(F389)/H389,"")</x:f>
        <x:v>0.20376666666666665</x:v>
      </x:c>
      <x:c r="J389" s="2" t="s">
        <x:v>298</x:v>
      </x:c>
      <x:c r="K389" s="8">
        <x:v>0.95630999999999999</x:v>
      </x:c>
      <x:c r="L389" s="2" t="s">
        <x:v>299</x:v>
      </x:c>
      <x:c r="M389" s="2">
        <x:v>1</x:v>
      </x:c>
      <x:c r="N389" s="2" t="s">
        <x:v>79</x:v>
      </x:c>
      <x:c r="O389" s="5">
        <x:v>58.1</x:v>
      </x:c>
      <x:c r="P389" s="2">
        <x:v>561</x:v>
      </x:c>
      <x:c r="Q389" s="2" t="n">
        <x:f>IF(OR(J389="positive",J389="negative"),1,0)</x:f>
        <x:v>1</x:v>
      </x:c>
    </x:row>
    <x:row r="390" ht="15">
      <x:c r="A390" s="2" t="s">
        <x:v>42</x:v>
      </x:c>
      <x:c r="B390" s="2" t="s">
        <x:v>182</x:v>
      </x:c>
      <x:c r="C390" s="2">
        <x:v>3</x:v>
      </x:c>
      <x:c r="D390" s="2" t="s">
        <x:v>295</x:v>
      </x:c>
      <x:c r="E390" s="2" t="s">
        <x:v>296</x:v>
      </x:c>
      <x:c r="F390" s="7">
        <x:v>0.28732000000000002</x:v>
      </x:c>
      <x:c r="G390" s="2" t="s">
        <x:v>297</x:v>
      </x:c>
      <x:c r="H390" s="8">
        <x:v>3.5</x:v>
      </x:c>
      <x:c r="I390" s="9" t="n">
        <x:f t="shared" si="6">IFERROR(ABS(F390)/H390,"")</x:f>
        <x:v>0.08209142857142858</x:v>
      </x:c>
      <x:c r="J390" s="2" t="s">
        <x:v>298</x:v>
      </x:c>
      <x:c r="K390" s="8">
        <x:v>0.95337000000000005</x:v>
      </x:c>
      <x:c r="L390" s="2" t="s">
        <x:v>299</x:v>
      </x:c>
      <x:c r="M390" s="2">
        <x:v>1</x:v>
      </x:c>
      <x:c r="N390" s="2" t="s">
        <x:v>79</x:v>
      </x:c>
      <x:c r="O390" s="5">
        <x:v>57.2</x:v>
      </x:c>
      <x:c r="P390" s="2">
        <x:v>293</x:v>
      </x:c>
      <x:c r="Q390" s="2" t="n">
        <x:f>IF(OR(J390="positive",J390="negative"),1,0)</x:f>
        <x:v>1</x:v>
      </x:c>
    </x:row>
    <x:row r="391" ht="15">
      <x:c r="A391" s="2" t="s">
        <x:v>42</x:v>
      </x:c>
      <x:c r="B391" s="2" t="s">
        <x:v>182</x:v>
      </x:c>
      <x:c r="C391" s="2">
        <x:v>3</x:v>
      </x:c>
      <x:c r="D391" s="2" t="s">
        <x:v>300</x:v>
      </x:c>
      <x:c r="E391" s="2" t="s">
        <x:v>301</x:v>
      </x:c>
      <x:c r="F391" s="7">
        <x:v>7.9320000000000002E-2</x:v>
      </x:c>
      <x:c r="G391" s="2" t="s">
        <x:v>302</x:v>
      </x:c>
      <x:c r="H391" s="8">
        <x:v>0.45</x:v>
      </x:c>
      <x:c r="I391" s="9" t="n">
        <x:f t="shared" si="6">IFERROR(ABS(F391)/H391,"")</x:f>
        <x:v>0.17626666666666665</x:v>
      </x:c>
      <x:c r="J391" s="2" t="s">
        <x:v>298</x:v>
      </x:c>
      <x:c r="K391" s="8">
        <x:v>0.93081999999999998</x:v>
      </x:c>
      <x:c r="L391" s="2" t="s">
        <x:v>299</x:v>
      </x:c>
      <x:c r="M391" s="2">
        <x:v>1</x:v>
      </x:c>
      <x:c r="N391" s="2" t="s">
        <x:v>79</x:v>
      </x:c>
      <x:c r="O391" s="5">
        <x:v>57.2</x:v>
      </x:c>
      <x:c r="P391" s="2">
        <x:v>293</x:v>
      </x:c>
      <x:c r="Q391" s="2" t="n">
        <x:f>IF(OR(J391="positive",J391="negative"),1,0)</x:f>
        <x:v>1</x:v>
      </x:c>
    </x:row>
    <x:row r="392" ht="15">
      <x:c r="A392" s="2" t="s">
        <x:v>42</x:v>
      </x:c>
      <x:c r="B392" s="2" t="s">
        <x:v>182</x:v>
      </x:c>
      <x:c r="C392" s="2">
        <x:v>3</x:v>
      </x:c>
      <x:c r="D392" s="2" t="s">
        <x:v>18</x:v>
      </x:c>
      <x:c r="E392" s="2" t="s">
        <x:v>303</x:v>
      </x:c>
      <x:c r="F392" s="7">
        <x:v>-1.9869999999999999E-2</x:v>
      </x:c>
      <x:c r="G392" s="2" t="s">
        <x:v>304</x:v>
      </x:c>
      <x:c r="H392" s="8">
        <x:v>7.4999999999999997E-2</x:v>
      </x:c>
      <x:c r="I392" s="9" t="n">
        <x:f t="shared" si="6">IFERROR(ABS(F392)/H392,"")</x:f>
        <x:v>0.26493333333333335</x:v>
      </x:c>
      <x:c r="J392" s="2" t="s">
        <x:v>298</x:v>
      </x:c>
      <x:c r="K392" s="8">
        <x:v>0.90656000000000003</x:v>
      </x:c>
      <x:c r="L392" s="2" t="s">
        <x:v>299</x:v>
      </x:c>
      <x:c r="M392" s="2">
        <x:v>1</x:v>
      </x:c>
      <x:c r="N392" s="2" t="s">
        <x:v>79</x:v>
      </x:c>
      <x:c r="O392" s="5">
        <x:v>57.2</x:v>
      </x:c>
      <x:c r="P392" s="2">
        <x:v>293</x:v>
      </x:c>
      <x:c r="Q392" s="2" t="n">
        <x:f>IF(OR(J392="positive",J392="negative"),1,0)</x:f>
        <x:v>1</x:v>
      </x:c>
    </x:row>
    <x:row r="393" ht="15">
      <x:c r="A393" s="2" t="s">
        <x:v>42</x:v>
      </x:c>
      <x:c r="B393" s="2" t="s">
        <x:v>182</x:v>
      </x:c>
      <x:c r="C393" s="2">
        <x:v>3</x:v>
      </x:c>
      <x:c r="D393" s="2" t="s">
        <x:v>305</x:v>
      </x:c>
      <x:c r="E393" s="2" t="s">
        <x:v>306</x:v>
      </x:c>
      <x:c r="F393" s="7">
        <x:v>-7.6960000000000001E-2</x:v>
      </x:c>
      <x:c r="G393" s="2" t="s">
        <x:v>304</x:v>
      </x:c>
      <x:c r="H393" s="8">
        <x:v>0.3</x:v>
      </x:c>
      <x:c r="I393" s="9" t="n">
        <x:f t="shared" si="6">IFERROR(ABS(F393)/H393,"")</x:f>
        <x:v>0.25653333333333334</x:v>
      </x:c>
      <x:c r="J393" s="2" t="s">
        <x:v>298</x:v>
      </x:c>
      <x:c r="K393" s="8">
        <x:v>0.95613999999999999</x:v>
      </x:c>
      <x:c r="L393" s="2" t="s">
        <x:v>299</x:v>
      </x:c>
      <x:c r="M393" s="2">
        <x:v>1</x:v>
      </x:c>
      <x:c r="N393" s="2" t="s">
        <x:v>79</x:v>
      </x:c>
      <x:c r="O393" s="5">
        <x:v>57.2</x:v>
      </x:c>
      <x:c r="P393" s="2">
        <x:v>293</x:v>
      </x:c>
      <x:c r="Q393" s="2" t="n">
        <x:f>IF(OR(J393="positive",J393="negative"),1,0)</x:f>
        <x:v>1</x:v>
      </x:c>
    </x:row>
    <x:row r="394" ht="15">
      <x:c r="A394" s="2" t="s">
        <x:v>42</x:v>
      </x:c>
      <x:c r="B394" s="2" t="s">
        <x:v>183</x:v>
      </x:c>
      <x:c r="C394" s="2">
        <x:v>4</x:v>
      </x:c>
      <x:c r="D394" s="2" t="s">
        <x:v>295</x:v>
      </x:c>
      <x:c r="E394" s="2" t="s">
        <x:v>296</x:v>
      </x:c>
      <x:c r="F394" s="7">
        <x:v>9.8320000000000005E-2</x:v>
      </x:c>
      <x:c r="G394" s="2" t="s">
        <x:v>297</x:v>
      </x:c>
      <x:c r="H394" s="8">
        <x:v>3.5</x:v>
      </x:c>
      <x:c r="I394" s="9" t="n">
        <x:f t="shared" si="6">IFERROR(ABS(F394)/H394,"")</x:f>
        <x:v>0.028091428571428573</x:v>
      </x:c>
      <x:c r="J394" s="2" t="s">
        <x:v>298</x:v>
      </x:c>
      <x:c r="K394" s="8">
        <x:v>0.93437000000000003</x:v>
      </x:c>
      <x:c r="L394" s="2" t="s">
        <x:v>299</x:v>
      </x:c>
      <x:c r="M394" s="2">
        <x:v>1</x:v>
      </x:c>
      <x:c r="N394" s="2" t="s">
        <x:v>79</x:v>
      </x:c>
      <x:c r="O394" s="5">
        <x:v>59.7</x:v>
      </x:c>
      <x:c r="P394" s="2">
        <x:v>606</x:v>
      </x:c>
      <x:c r="Q394" s="2" t="n">
        <x:f>IF(OR(J394="positive",J394="negative"),1,0)</x:f>
        <x:v>1</x:v>
      </x:c>
    </x:row>
    <x:row r="395" ht="15">
      <x:c r="A395" s="2" t="s">
        <x:v>42</x:v>
      </x:c>
      <x:c r="B395" s="2" t="s">
        <x:v>183</x:v>
      </x:c>
      <x:c r="C395" s="2">
        <x:v>4</x:v>
      </x:c>
      <x:c r="D395" s="2" t="s">
        <x:v>300</x:v>
      </x:c>
      <x:c r="E395" s="2" t="s">
        <x:v>301</x:v>
      </x:c>
      <x:c r="F395" s="7">
        <x:v>4.2999999999999997E-2</x:v>
      </x:c>
      <x:c r="G395" s="2" t="s">
        <x:v>302</x:v>
      </x:c>
      <x:c r="H395" s="8">
        <x:v>0.45</x:v>
      </x:c>
      <x:c r="I395" s="9" t="n">
        <x:f t="shared" si="6">IFERROR(ABS(F395)/H395,"")</x:f>
        <x:v>0.09555555555555555</x:v>
      </x:c>
      <x:c r="J395" s="2" t="s">
        <x:v>298</x:v>
      </x:c>
      <x:c r="K395" s="8">
        <x:v>0.91596</x:v>
      </x:c>
      <x:c r="L395" s="2" t="s">
        <x:v>299</x:v>
      </x:c>
      <x:c r="M395" s="2">
        <x:v>1</x:v>
      </x:c>
      <x:c r="N395" s="2" t="s">
        <x:v>79</x:v>
      </x:c>
      <x:c r="O395" s="5">
        <x:v>59.7</x:v>
      </x:c>
      <x:c r="P395" s="2">
        <x:v>606</x:v>
      </x:c>
      <x:c r="Q395" s="2" t="n">
        <x:f>IF(OR(J395="positive",J395="negative"),1,0)</x:f>
        <x:v>1</x:v>
      </x:c>
    </x:row>
    <x:row r="396" ht="15">
      <x:c r="A396" s="2" t="s">
        <x:v>42</x:v>
      </x:c>
      <x:c r="B396" s="2" t="s">
        <x:v>183</x:v>
      </x:c>
      <x:c r="C396" s="2">
        <x:v>4</x:v>
      </x:c>
      <x:c r="D396" s="2" t="s">
        <x:v>18</x:v>
      </x:c>
      <x:c r="E396" s="2" t="s">
        <x:v>303</x:v>
      </x:c>
      <x:c r="F396" s="7">
        <x:v>-1.891E-2</x:v>
      </x:c>
      <x:c r="G396" s="2" t="s">
        <x:v>304</x:v>
      </x:c>
      <x:c r="H396" s="8">
        <x:v>7.4999999999999997E-2</x:v>
      </x:c>
      <x:c r="I396" s="9" t="n">
        <x:f t="shared" si="6">IFERROR(ABS(F396)/H396,"")</x:f>
        <x:v>0.2521333333333333</x:v>
      </x:c>
      <x:c r="J396" s="2" t="s">
        <x:v>298</x:v>
      </x:c>
      <x:c r="K396" s="8">
        <x:v>0.94513000000000003</x:v>
      </x:c>
      <x:c r="L396" s="2" t="s">
        <x:v>299</x:v>
      </x:c>
      <x:c r="M396" s="2">
        <x:v>1</x:v>
      </x:c>
      <x:c r="N396" s="2" t="s">
        <x:v>79</x:v>
      </x:c>
      <x:c r="O396" s="5">
        <x:v>59.7</x:v>
      </x:c>
      <x:c r="P396" s="2">
        <x:v>606</x:v>
      </x:c>
      <x:c r="Q396" s="2" t="n">
        <x:f>IF(OR(J396="positive",J396="negative"),1,0)</x:f>
        <x:v>1</x:v>
      </x:c>
    </x:row>
    <x:row r="397" ht="15">
      <x:c r="A397" s="2" t="s">
        <x:v>42</x:v>
      </x:c>
      <x:c r="B397" s="2" t="s">
        <x:v>183</x:v>
      </x:c>
      <x:c r="C397" s="2">
        <x:v>4</x:v>
      </x:c>
      <x:c r="D397" s="2" t="s">
        <x:v>305</x:v>
      </x:c>
      <x:c r="E397" s="2" t="s">
        <x:v>306</x:v>
      </x:c>
      <x:c r="F397" s="7">
        <x:v>-8.072E-2</x:v>
      </x:c>
      <x:c r="G397" s="2" t="s">
        <x:v>304</x:v>
      </x:c>
      <x:c r="H397" s="8">
        <x:v>0.3</x:v>
      </x:c>
      <x:c r="I397" s="9" t="n">
        <x:f t="shared" si="6">IFERROR(ABS(F397)/H397,"")</x:f>
        <x:v>0.2690666666666667</x:v>
      </x:c>
      <x:c r="J397" s="2" t="s">
        <x:v>298</x:v>
      </x:c>
      <x:c r="K397" s="8">
        <x:v>0.93640999999999996</x:v>
      </x:c>
      <x:c r="L397" s="2" t="s">
        <x:v>299</x:v>
      </x:c>
      <x:c r="M397" s="2">
        <x:v>1</x:v>
      </x:c>
      <x:c r="N397" s="2" t="s">
        <x:v>79</x:v>
      </x:c>
      <x:c r="O397" s="5">
        <x:v>59.7</x:v>
      </x:c>
      <x:c r="P397" s="2">
        <x:v>606</x:v>
      </x:c>
      <x:c r="Q397" s="2" t="n">
        <x:f>IF(OR(J397="positive",J397="negative"),1,0)</x:f>
        <x:v>1</x:v>
      </x:c>
    </x:row>
    <x:row r="398" ht="15">
      <x:c r="A398" s="2" t="s">
        <x:v>42</x:v>
      </x:c>
      <x:c r="B398" s="2" t="s">
        <x:v>184</x:v>
      </x:c>
      <x:c r="C398" s="2">
        <x:v>5</x:v>
      </x:c>
      <x:c r="D398" s="2" t="s">
        <x:v>295</x:v>
      </x:c>
      <x:c r="E398" s="2" t="s">
        <x:v>296</x:v>
      </x:c>
      <x:c r="F398" s="7">
        <x:v>0.30636000000000002</x:v>
      </x:c>
      <x:c r="G398" s="2" t="s">
        <x:v>297</x:v>
      </x:c>
      <x:c r="H398" s="8">
        <x:v>3.5</x:v>
      </x:c>
      <x:c r="I398" s="9" t="n">
        <x:f t="shared" si="6">IFERROR(ABS(F398)/H398,"")</x:f>
        <x:v>0.08753142857142858</x:v>
      </x:c>
      <x:c r="J398" s="2" t="s">
        <x:v>298</x:v>
      </x:c>
      <x:c r="K398" s="8">
        <x:v>0.93967000000000001</x:v>
      </x:c>
      <x:c r="L398" s="2" t="s">
        <x:v>299</x:v>
      </x:c>
      <x:c r="M398" s="2">
        <x:v>1</x:v>
      </x:c>
      <x:c r="N398" s="2" t="s">
        <x:v>79</x:v>
      </x:c>
      <x:c r="O398" s="5">
        <x:v>61.1</x:v>
      </x:c>
      <x:c r="P398" s="2">
        <x:v>505</x:v>
      </x:c>
      <x:c r="Q398" s="2" t="n">
        <x:f>IF(OR(J398="positive",J398="negative"),1,0)</x:f>
        <x:v>1</x:v>
      </x:c>
    </x:row>
    <x:row r="399" ht="15">
      <x:c r="A399" s="2" t="s">
        <x:v>42</x:v>
      </x:c>
      <x:c r="B399" s="2" t="s">
        <x:v>184</x:v>
      </x:c>
      <x:c r="C399" s="2">
        <x:v>5</x:v>
      </x:c>
      <x:c r="D399" s="2" t="s">
        <x:v>300</x:v>
      </x:c>
      <x:c r="E399" s="2" t="s">
        <x:v>301</x:v>
      </x:c>
      <x:c r="F399" s="7">
        <x:v>2.427E-2</x:v>
      </x:c>
      <x:c r="G399" s="2" t="s">
        <x:v>302</x:v>
      </x:c>
      <x:c r="H399" s="8">
        <x:v>0.45</x:v>
      </x:c>
      <x:c r="I399" s="9" t="n">
        <x:f t="shared" si="6">IFERROR(ABS(F399)/H399,"")</x:f>
        <x:v>0.05393333333333333</x:v>
      </x:c>
      <x:c r="J399" s="2" t="s">
        <x:v>298</x:v>
      </x:c>
      <x:c r="K399" s="8">
        <x:v>0.95096999999999998</x:v>
      </x:c>
      <x:c r="L399" s="2" t="s">
        <x:v>299</x:v>
      </x:c>
      <x:c r="M399" s="2">
        <x:v>1</x:v>
      </x:c>
      <x:c r="N399" s="2" t="s">
        <x:v>79</x:v>
      </x:c>
      <x:c r="O399" s="5">
        <x:v>61.1</x:v>
      </x:c>
      <x:c r="P399" s="2">
        <x:v>505</x:v>
      </x:c>
      <x:c r="Q399" s="2" t="n">
        <x:f>IF(OR(J399="positive",J399="negative"),1,0)</x:f>
        <x:v>1</x:v>
      </x:c>
    </x:row>
    <x:row r="400" ht="15">
      <x:c r="A400" s="2" t="s">
        <x:v>42</x:v>
      </x:c>
      <x:c r="B400" s="2" t="s">
        <x:v>184</x:v>
      </x:c>
      <x:c r="C400" s="2">
        <x:v>5</x:v>
      </x:c>
      <x:c r="D400" s="2" t="s">
        <x:v>18</x:v>
      </x:c>
      <x:c r="E400" s="2" t="s">
        <x:v>303</x:v>
      </x:c>
      <x:c r="F400" s="7">
        <x:v>-2.7890000000000002E-2</x:v>
      </x:c>
      <x:c r="G400" s="2" t="s">
        <x:v>304</x:v>
      </x:c>
      <x:c r="H400" s="8">
        <x:v>7.4999999999999997E-2</x:v>
      </x:c>
      <x:c r="I400" s="9" t="n">
        <x:f t="shared" si="6">IFERROR(ABS(F400)/H400,"")</x:f>
        <x:v>0.3718666666666667</x:v>
      </x:c>
      <x:c r="J400" s="2" t="s">
        <x:v>298</x:v>
      </x:c>
      <x:c r="K400" s="8">
        <x:v>0.93196999999999997</x:v>
      </x:c>
      <x:c r="L400" s="2" t="s">
        <x:v>299</x:v>
      </x:c>
      <x:c r="M400" s="2">
        <x:v>1</x:v>
      </x:c>
      <x:c r="N400" s="2" t="s">
        <x:v>79</x:v>
      </x:c>
      <x:c r="O400" s="5">
        <x:v>61.1</x:v>
      </x:c>
      <x:c r="P400" s="2">
        <x:v>505</x:v>
      </x:c>
      <x:c r="Q400" s="2" t="n">
        <x:f>IF(OR(J400="positive",J400="negative"),1,0)</x:f>
        <x:v>1</x:v>
      </x:c>
    </x:row>
    <x:row r="401" ht="15">
      <x:c r="A401" s="2" t="s">
        <x:v>42</x:v>
      </x:c>
      <x:c r="B401" s="2" t="s">
        <x:v>184</x:v>
      </x:c>
      <x:c r="C401" s="2">
        <x:v>5</x:v>
      </x:c>
      <x:c r="D401" s="2" t="s">
        <x:v>305</x:v>
      </x:c>
      <x:c r="E401" s="2" t="s">
        <x:v>306</x:v>
      </x:c>
      <x:c r="F401" s="7">
        <x:v>-9.4700000000000006E-2</x:v>
      </x:c>
      <x:c r="G401" s="2" t="s">
        <x:v>304</x:v>
      </x:c>
      <x:c r="H401" s="8">
        <x:v>0.3</x:v>
      </x:c>
      <x:c r="I401" s="9" t="n">
        <x:f t="shared" si="6">IFERROR(ABS(F401)/H401,"")</x:f>
        <x:v>0.3156666666666667</x:v>
      </x:c>
      <x:c r="J401" s="2" t="s">
        <x:v>298</x:v>
      </x:c>
      <x:c r="K401" s="8">
        <x:v>0.95884999999999998</x:v>
      </x:c>
      <x:c r="L401" s="2" t="s">
        <x:v>299</x:v>
      </x:c>
      <x:c r="M401" s="2">
        <x:v>1</x:v>
      </x:c>
      <x:c r="N401" s="2" t="s">
        <x:v>79</x:v>
      </x:c>
      <x:c r="O401" s="5">
        <x:v>61.1</x:v>
      </x:c>
      <x:c r="P401" s="2">
        <x:v>505</x:v>
      </x:c>
      <x:c r="Q401" s="2" t="n">
        <x:f>IF(OR(J401="positive",J401="negative"),1,0)</x:f>
        <x:v>1</x:v>
      </x:c>
    </x:row>
    <x:row r="402" ht="15">
      <x:c r="A402" s="2" t="s">
        <x:v>43</x:v>
      </x:c>
      <x:c r="B402" s="2" t="s">
        <x:v>185</x:v>
      </x:c>
      <x:c r="C402" s="2">
        <x:v>1</x:v>
      </x:c>
      <x:c r="D402" s="2" t="s">
        <x:v>295</x:v>
      </x:c>
      <x:c r="E402" s="2" t="s">
        <x:v>296</x:v>
      </x:c>
      <x:c r="F402" s="7">
        <x:v>0.38824999999999998</x:v>
      </x:c>
      <x:c r="G402" s="2" t="s">
        <x:v>297</x:v>
      </x:c>
      <x:c r="H402" s="8">
        <x:v>3.5</x:v>
      </x:c>
      <x:c r="I402" s="9" t="n">
        <x:f t="shared" si="6">IFERROR(ABS(F402)/H402,"")</x:f>
        <x:v>0.11092857142857142</x:v>
      </x:c>
      <x:c r="J402" s="2" t="s">
        <x:v>298</x:v>
      </x:c>
      <x:c r="K402" s="8">
        <x:v>0.90069999999999995</x:v>
      </x:c>
      <x:c r="L402" s="2" t="s">
        <x:v>299</x:v>
      </x:c>
      <x:c r="M402" s="2">
        <x:v>1</x:v>
      </x:c>
      <x:c r="N402" s="2" t="s">
        <x:v>79</x:v>
      </x:c>
      <x:c r="O402" s="5">
        <x:v>65.400000000000006</x:v>
      </x:c>
      <x:c r="P402" s="2">
        <x:v>439</x:v>
      </x:c>
      <x:c r="Q402" s="2" t="n">
        <x:f>IF(OR(J402="positive",J402="negative"),1,0)</x:f>
        <x:v>1</x:v>
      </x:c>
    </x:row>
    <x:row r="403" ht="15">
      <x:c r="A403" s="2" t="s">
        <x:v>43</x:v>
      </x:c>
      <x:c r="B403" s="2" t="s">
        <x:v>185</x:v>
      </x:c>
      <x:c r="C403" s="2">
        <x:v>1</x:v>
      </x:c>
      <x:c r="D403" s="2" t="s">
        <x:v>300</x:v>
      </x:c>
      <x:c r="E403" s="2" t="s">
        <x:v>301</x:v>
      </x:c>
      <x:c r="F403" s="7">
        <x:v>6.053E-2</x:v>
      </x:c>
      <x:c r="G403" s="2" t="s">
        <x:v>302</x:v>
      </x:c>
      <x:c r="H403" s="8">
        <x:v>0.45</x:v>
      </x:c>
      <x:c r="I403" s="9" t="n">
        <x:f t="shared" si="6">IFERROR(ABS(F403)/H403,"")</x:f>
        <x:v>0.1345111111111111</x:v>
      </x:c>
      <x:c r="J403" s="2" t="s">
        <x:v>298</x:v>
      </x:c>
      <x:c r="K403" s="8">
        <x:v>0.94760999999999995</x:v>
      </x:c>
      <x:c r="L403" s="2" t="s">
        <x:v>299</x:v>
      </x:c>
      <x:c r="M403" s="2">
        <x:v>1</x:v>
      </x:c>
      <x:c r="N403" s="2" t="s">
        <x:v>79</x:v>
      </x:c>
      <x:c r="O403" s="5">
        <x:v>65.400000000000006</x:v>
      </x:c>
      <x:c r="P403" s="2">
        <x:v>439</x:v>
      </x:c>
      <x:c r="Q403" s="2" t="n">
        <x:f>IF(OR(J403="positive",J403="negative"),1,0)</x:f>
        <x:v>1</x:v>
      </x:c>
    </x:row>
    <x:row r="404" ht="15">
      <x:c r="A404" s="2" t="s">
        <x:v>43</x:v>
      </x:c>
      <x:c r="B404" s="2" t="s">
        <x:v>185</x:v>
      </x:c>
      <x:c r="C404" s="2">
        <x:v>1</x:v>
      </x:c>
      <x:c r="D404" s="2" t="s">
        <x:v>18</x:v>
      </x:c>
      <x:c r="E404" s="2" t="s">
        <x:v>303</x:v>
      </x:c>
      <x:c r="F404" s="7">
        <x:v>-8.0499999999999999E-3</x:v>
      </x:c>
      <x:c r="G404" s="2" t="s">
        <x:v>304</x:v>
      </x:c>
      <x:c r="H404" s="8">
        <x:v>7.4999999999999997E-2</x:v>
      </x:c>
      <x:c r="I404" s="9" t="n">
        <x:f t="shared" si="6">IFERROR(ABS(F404)/H404,"")</x:f>
        <x:v>0.10733333333333334</x:v>
      </x:c>
      <x:c r="J404" s="2" t="s">
        <x:v>298</x:v>
      </x:c>
      <x:c r="K404" s="8">
        <x:v>0.92842999999999998</x:v>
      </x:c>
      <x:c r="L404" s="2" t="s">
        <x:v>299</x:v>
      </x:c>
      <x:c r="M404" s="2">
        <x:v>1</x:v>
      </x:c>
      <x:c r="N404" s="2" t="s">
        <x:v>79</x:v>
      </x:c>
      <x:c r="O404" s="5">
        <x:v>65.400000000000006</x:v>
      </x:c>
      <x:c r="P404" s="2">
        <x:v>439</x:v>
      </x:c>
      <x:c r="Q404" s="2" t="n">
        <x:f>IF(OR(J404="positive",J404="negative"),1,0)</x:f>
        <x:v>1</x:v>
      </x:c>
    </x:row>
    <x:row r="405" ht="15">
      <x:c r="A405" s="2" t="s">
        <x:v>43</x:v>
      </x:c>
      <x:c r="B405" s="2" t="s">
        <x:v>185</x:v>
      </x:c>
      <x:c r="C405" s="2">
        <x:v>1</x:v>
      </x:c>
      <x:c r="D405" s="2" t="s">
        <x:v>305</x:v>
      </x:c>
      <x:c r="E405" s="2" t="s">
        <x:v>306</x:v>
      </x:c>
      <x:c r="F405" s="7">
        <x:v>1.77E-2</x:v>
      </x:c>
      <x:c r="G405" s="2" t="s">
        <x:v>304</x:v>
      </x:c>
      <x:c r="H405" s="8">
        <x:v>0.3</x:v>
      </x:c>
      <x:c r="I405" s="9" t="n">
        <x:f t="shared" si="6">IFERROR(ABS(F405)/H405,"")</x:f>
        <x:v>0.059000000000000004</x:v>
      </x:c>
      <x:c r="J405" s="2" t="s">
        <x:v>298</x:v>
      </x:c>
      <x:c r="K405" s="8">
        <x:v>0.95489000000000002</x:v>
      </x:c>
      <x:c r="L405" s="2" t="s">
        <x:v>299</x:v>
      </x:c>
      <x:c r="M405" s="2">
        <x:v>1</x:v>
      </x:c>
      <x:c r="N405" s="2" t="s">
        <x:v>79</x:v>
      </x:c>
      <x:c r="O405" s="5">
        <x:v>65.400000000000006</x:v>
      </x:c>
      <x:c r="P405" s="2">
        <x:v>439</x:v>
      </x:c>
      <x:c r="Q405" s="2" t="n">
        <x:f>IF(OR(J405="positive",J405="negative"),1,0)</x:f>
        <x:v>1</x:v>
      </x:c>
    </x:row>
    <x:row r="406" ht="15">
      <x:c r="A406" s="2" t="s">
        <x:v>43</x:v>
      </x:c>
      <x:c r="B406" s="2" t="s">
        <x:v>186</x:v>
      </x:c>
      <x:c r="C406" s="2">
        <x:v>2</x:v>
      </x:c>
      <x:c r="D406" s="2" t="s">
        <x:v>295</x:v>
      </x:c>
      <x:c r="E406" s="2" t="s">
        <x:v>296</x:v>
      </x:c>
      <x:c r="F406" s="7">
        <x:v>0.49629000000000001</x:v>
      </x:c>
      <x:c r="G406" s="2" t="s">
        <x:v>297</x:v>
      </x:c>
      <x:c r="H406" s="8">
        <x:v>3.5</x:v>
      </x:c>
      <x:c r="I406" s="9" t="n">
        <x:f t="shared" si="6">IFERROR(ABS(F406)/H406,"")</x:f>
        <x:v>0.14179714285714287</x:v>
      </x:c>
      <x:c r="J406" s="2" t="s">
        <x:v>298</x:v>
      </x:c>
      <x:c r="K406" s="8">
        <x:v>0.90278999999999998</x:v>
      </x:c>
      <x:c r="L406" s="2" t="s">
        <x:v>299</x:v>
      </x:c>
      <x:c r="M406" s="2">
        <x:v>1</x:v>
      </x:c>
      <x:c r="N406" s="2" t="s">
        <x:v>79</x:v>
      </x:c>
      <x:c r="O406" s="5">
        <x:v>62.8</x:v>
      </x:c>
      <x:c r="P406" s="2">
        <x:v>271</x:v>
      </x:c>
      <x:c r="Q406" s="2" t="n">
        <x:f>IF(OR(J406="positive",J406="negative"),1,0)</x:f>
        <x:v>1</x:v>
      </x:c>
    </x:row>
    <x:row r="407" ht="15">
      <x:c r="A407" s="2" t="s">
        <x:v>43</x:v>
      </x:c>
      <x:c r="B407" s="2" t="s">
        <x:v>186</x:v>
      </x:c>
      <x:c r="C407" s="2">
        <x:v>2</x:v>
      </x:c>
      <x:c r="D407" s="2" t="s">
        <x:v>300</x:v>
      </x:c>
      <x:c r="E407" s="2" t="s">
        <x:v>301</x:v>
      </x:c>
      <x:c r="F407" s="7">
        <x:v>4.5359999999999998E-2</x:v>
      </x:c>
      <x:c r="G407" s="2" t="s">
        <x:v>302</x:v>
      </x:c>
      <x:c r="H407" s="8">
        <x:v>0.45</x:v>
      </x:c>
      <x:c r="I407" s="9" t="n">
        <x:f t="shared" si="6">IFERROR(ABS(F407)/H407,"")</x:f>
        <x:v>0.10079999999999999</x:v>
      </x:c>
      <x:c r="J407" s="2" t="s">
        <x:v>298</x:v>
      </x:c>
      <x:c r="K407" s="8">
        <x:v>0.92527000000000004</x:v>
      </x:c>
      <x:c r="L407" s="2" t="s">
        <x:v>299</x:v>
      </x:c>
      <x:c r="M407" s="2">
        <x:v>1</x:v>
      </x:c>
      <x:c r="N407" s="2" t="s">
        <x:v>79</x:v>
      </x:c>
      <x:c r="O407" s="5">
        <x:v>62.8</x:v>
      </x:c>
      <x:c r="P407" s="2">
        <x:v>271</x:v>
      </x:c>
      <x:c r="Q407" s="2" t="n">
        <x:f>IF(OR(J407="positive",J407="negative"),1,0)</x:f>
        <x:v>1</x:v>
      </x:c>
    </x:row>
    <x:row r="408" ht="15">
      <x:c r="A408" s="2" t="s">
        <x:v>43</x:v>
      </x:c>
      <x:c r="B408" s="2" t="s">
        <x:v>186</x:v>
      </x:c>
      <x:c r="C408" s="2">
        <x:v>2</x:v>
      </x:c>
      <x:c r="D408" s="2" t="s">
        <x:v>18</x:v>
      </x:c>
      <x:c r="E408" s="2" t="s">
        <x:v>303</x:v>
      </x:c>
      <x:c r="F408" s="7">
        <x:v>-1.141E-2</x:v>
      </x:c>
      <x:c r="G408" s="2" t="s">
        <x:v>304</x:v>
      </x:c>
      <x:c r="H408" s="8">
        <x:v>7.4999999999999997E-2</x:v>
      </x:c>
      <x:c r="I408" s="9" t="n">
        <x:f t="shared" si="6">IFERROR(ABS(F408)/H408,"")</x:f>
        <x:v>0.15213333333333334</x:v>
      </x:c>
      <x:c r="J408" s="2" t="s">
        <x:v>298</x:v>
      </x:c>
      <x:c r="K408" s="8">
        <x:v>0.97180999999999995</x:v>
      </x:c>
      <x:c r="L408" s="2" t="s">
        <x:v>299</x:v>
      </x:c>
      <x:c r="M408" s="2">
        <x:v>1</x:v>
      </x:c>
      <x:c r="N408" s="2" t="s">
        <x:v>79</x:v>
      </x:c>
      <x:c r="O408" s="5">
        <x:v>62.8</x:v>
      </x:c>
      <x:c r="P408" s="2">
        <x:v>271</x:v>
      </x:c>
      <x:c r="Q408" s="2" t="n">
        <x:f>IF(OR(J408="positive",J408="negative"),1,0)</x:f>
        <x:v>1</x:v>
      </x:c>
    </x:row>
    <x:row r="409" ht="15">
      <x:c r="A409" s="2" t="s">
        <x:v>43</x:v>
      </x:c>
      <x:c r="B409" s="2" t="s">
        <x:v>186</x:v>
      </x:c>
      <x:c r="C409" s="2">
        <x:v>2</x:v>
      </x:c>
      <x:c r="D409" s="2" t="s">
        <x:v>305</x:v>
      </x:c>
      <x:c r="E409" s="2" t="s">
        <x:v>306</x:v>
      </x:c>
      <x:c r="F409" s="7">
        <x:v>4.9410000000000003E-2</x:v>
      </x:c>
      <x:c r="G409" s="2" t="s">
        <x:v>304</x:v>
      </x:c>
      <x:c r="H409" s="8">
        <x:v>0.3</x:v>
      </x:c>
      <x:c r="I409" s="9" t="n">
        <x:f t="shared" si="6">IFERROR(ABS(F409)/H409,"")</x:f>
        <x:v>0.1647</x:v>
      </x:c>
      <x:c r="J409" s="2" t="s">
        <x:v>298</x:v>
      </x:c>
      <x:c r="K409" s="8">
        <x:v>0.96736</x:v>
      </x:c>
      <x:c r="L409" s="2" t="s">
        <x:v>299</x:v>
      </x:c>
      <x:c r="M409" s="2">
        <x:v>1</x:v>
      </x:c>
      <x:c r="N409" s="2" t="s">
        <x:v>79</x:v>
      </x:c>
      <x:c r="O409" s="5">
        <x:v>62.8</x:v>
      </x:c>
      <x:c r="P409" s="2">
        <x:v>271</x:v>
      </x:c>
      <x:c r="Q409" s="2" t="n">
        <x:f>IF(OR(J409="positive",J409="negative"),1,0)</x:f>
        <x:v>1</x:v>
      </x:c>
    </x:row>
    <x:row r="410" ht="15">
      <x:c r="A410" s="2" t="s">
        <x:v>43</x:v>
      </x:c>
      <x:c r="B410" s="2" t="s">
        <x:v>187</x:v>
      </x:c>
      <x:c r="C410" s="2">
        <x:v>3</x:v>
      </x:c>
      <x:c r="D410" s="2" t="s">
        <x:v>295</x:v>
      </x:c>
      <x:c r="E410" s="2" t="s">
        <x:v>296</x:v>
      </x:c>
      <x:c r="F410" s="7">
        <x:v>0.23344999999999999</x:v>
      </x:c>
      <x:c r="G410" s="2" t="s">
        <x:v>297</x:v>
      </x:c>
      <x:c r="H410" s="8">
        <x:v>3.5</x:v>
      </x:c>
      <x:c r="I410" s="9" t="n">
        <x:f t="shared" si="6">IFERROR(ABS(F410)/H410,"")</x:f>
        <x:v>0.0667</x:v>
      </x:c>
      <x:c r="J410" s="2" t="s">
        <x:v>298</x:v>
      </x:c>
      <x:c r="K410" s="8">
        <x:v>0.90666000000000002</x:v>
      </x:c>
      <x:c r="L410" s="2" t="s">
        <x:v>299</x:v>
      </x:c>
      <x:c r="M410" s="2">
        <x:v>1</x:v>
      </x:c>
      <x:c r="N410" s="2" t="s">
        <x:v>79</x:v>
      </x:c>
      <x:c r="O410" s="5">
        <x:v>56.9</x:v>
      </x:c>
      <x:c r="P410" s="2">
        <x:v>585</x:v>
      </x:c>
      <x:c r="Q410" s="2" t="n">
        <x:f>IF(OR(J410="positive",J410="negative"),1,0)</x:f>
        <x:v>1</x:v>
      </x:c>
    </x:row>
    <x:row r="411" ht="15">
      <x:c r="A411" s="2" t="s">
        <x:v>43</x:v>
      </x:c>
      <x:c r="B411" s="2" t="s">
        <x:v>187</x:v>
      </x:c>
      <x:c r="C411" s="2">
        <x:v>3</x:v>
      </x:c>
      <x:c r="D411" s="2" t="s">
        <x:v>300</x:v>
      </x:c>
      <x:c r="E411" s="2" t="s">
        <x:v>301</x:v>
      </x:c>
      <x:c r="F411" s="7">
        <x:v>3.5290000000000002E-2</x:v>
      </x:c>
      <x:c r="G411" s="2" t="s">
        <x:v>302</x:v>
      </x:c>
      <x:c r="H411" s="8">
        <x:v>0.45</x:v>
      </x:c>
      <x:c r="I411" s="9" t="n">
        <x:f t="shared" si="6">IFERROR(ABS(F411)/H411,"")</x:f>
        <x:v>0.07842222222222223</x:v>
      </x:c>
      <x:c r="J411" s="2" t="s">
        <x:v>298</x:v>
      </x:c>
      <x:c r="K411" s="8">
        <x:v>0.96094999999999997</x:v>
      </x:c>
      <x:c r="L411" s="2" t="s">
        <x:v>299</x:v>
      </x:c>
      <x:c r="M411" s="2">
        <x:v>1</x:v>
      </x:c>
      <x:c r="N411" s="2" t="s">
        <x:v>79</x:v>
      </x:c>
      <x:c r="O411" s="5">
        <x:v>56.9</x:v>
      </x:c>
      <x:c r="P411" s="2">
        <x:v>585</x:v>
      </x:c>
      <x:c r="Q411" s="2" t="n">
        <x:f>IF(OR(J411="positive",J411="negative"),1,0)</x:f>
        <x:v>1</x:v>
      </x:c>
    </x:row>
    <x:row r="412" ht="15">
      <x:c r="A412" s="2" t="s">
        <x:v>43</x:v>
      </x:c>
      <x:c r="B412" s="2" t="s">
        <x:v>187</x:v>
      </x:c>
      <x:c r="C412" s="2">
        <x:v>3</x:v>
      </x:c>
      <x:c r="D412" s="2" t="s">
        <x:v>18</x:v>
      </x:c>
      <x:c r="E412" s="2" t="s">
        <x:v>303</x:v>
      </x:c>
      <x:c r="F412" s="7">
        <x:v>-1.1780000000000001E-2</x:v>
      </x:c>
      <x:c r="G412" s="2" t="s">
        <x:v>304</x:v>
      </x:c>
      <x:c r="H412" s="8">
        <x:v>7.4999999999999997E-2</x:v>
      </x:c>
      <x:c r="I412" s="9" t="n">
        <x:f t="shared" si="6">IFERROR(ABS(F412)/H412,"")</x:f>
        <x:v>0.1570666666666667</x:v>
      </x:c>
      <x:c r="J412" s="2" t="s">
        <x:v>298</x:v>
      </x:c>
      <x:c r="K412" s="8">
        <x:v>0.9375</x:v>
      </x:c>
      <x:c r="L412" s="2" t="s">
        <x:v>299</x:v>
      </x:c>
      <x:c r="M412" s="2">
        <x:v>1</x:v>
      </x:c>
      <x:c r="N412" s="2" t="s">
        <x:v>79</x:v>
      </x:c>
      <x:c r="O412" s="5">
        <x:v>56.9</x:v>
      </x:c>
      <x:c r="P412" s="2">
        <x:v>585</x:v>
      </x:c>
      <x:c r="Q412" s="2" t="n">
        <x:f>IF(OR(J412="positive",J412="negative"),1,0)</x:f>
        <x:v>1</x:v>
      </x:c>
    </x:row>
    <x:row r="413" ht="15">
      <x:c r="A413" s="2" t="s">
        <x:v>43</x:v>
      </x:c>
      <x:c r="B413" s="2" t="s">
        <x:v>187</x:v>
      </x:c>
      <x:c r="C413" s="2">
        <x:v>3</x:v>
      </x:c>
      <x:c r="D413" s="2" t="s">
        <x:v>305</x:v>
      </x:c>
      <x:c r="E413" s="2" t="s">
        <x:v>306</x:v>
      </x:c>
      <x:c r="F413" s="7">
        <x:v>4.5130000000000003E-2</x:v>
      </x:c>
      <x:c r="G413" s="2" t="s">
        <x:v>304</x:v>
      </x:c>
      <x:c r="H413" s="8">
        <x:v>0.3</x:v>
      </x:c>
      <x:c r="I413" s="9" t="n">
        <x:f t="shared" si="6">IFERROR(ABS(F413)/H413,"")</x:f>
        <x:v>0.15043333333333336</x:v>
      </x:c>
      <x:c r="J413" s="2" t="s">
        <x:v>298</x:v>
      </x:c>
      <x:c r="K413" s="8">
        <x:v>0.91624000000000005</x:v>
      </x:c>
      <x:c r="L413" s="2" t="s">
        <x:v>299</x:v>
      </x:c>
      <x:c r="M413" s="2">
        <x:v>1</x:v>
      </x:c>
      <x:c r="N413" s="2" t="s">
        <x:v>79</x:v>
      </x:c>
      <x:c r="O413" s="5">
        <x:v>56.9</x:v>
      </x:c>
      <x:c r="P413" s="2">
        <x:v>585</x:v>
      </x:c>
      <x:c r="Q413" s="2" t="n">
        <x:f>IF(OR(J413="positive",J413="negative"),1,0)</x:f>
        <x:v>1</x:v>
      </x:c>
    </x:row>
    <x:row r="414" ht="15">
      <x:c r="A414" s="2" t="s">
        <x:v>43</x:v>
      </x:c>
      <x:c r="B414" s="2" t="s">
        <x:v>188</x:v>
      </x:c>
      <x:c r="C414" s="2">
        <x:v>4</x:v>
      </x:c>
      <x:c r="D414" s="2" t="s">
        <x:v>295</x:v>
      </x:c>
      <x:c r="E414" s="2" t="s">
        <x:v>296</x:v>
      </x:c>
      <x:c r="F414" s="7">
        <x:v>0.42076000000000002</x:v>
      </x:c>
      <x:c r="G414" s="2" t="s">
        <x:v>297</x:v>
      </x:c>
      <x:c r="H414" s="8">
        <x:v>3.5</x:v>
      </x:c>
      <x:c r="I414" s="9" t="n">
        <x:f t="shared" si="6">IFERROR(ABS(F414)/H414,"")</x:f>
        <x:v>0.12021714285714287</x:v>
      </x:c>
      <x:c r="J414" s="2" t="s">
        <x:v>298</x:v>
      </x:c>
      <x:c r="K414" s="8">
        <x:v>0.92991000000000001</x:v>
      </x:c>
      <x:c r="L414" s="2" t="s">
        <x:v>299</x:v>
      </x:c>
      <x:c r="M414" s="2">
        <x:v>1</x:v>
      </x:c>
      <x:c r="N414" s="2" t="s">
        <x:v>79</x:v>
      </x:c>
      <x:c r="O414" s="5">
        <x:v>57.8</x:v>
      </x:c>
      <x:c r="P414" s="2">
        <x:v>327</x:v>
      </x:c>
      <x:c r="Q414" s="2" t="n">
        <x:f>IF(OR(J414="positive",J414="negative"),1,0)</x:f>
        <x:v>1</x:v>
      </x:c>
    </x:row>
    <x:row r="415" ht="15">
      <x:c r="A415" s="2" t="s">
        <x:v>43</x:v>
      </x:c>
      <x:c r="B415" s="2" t="s">
        <x:v>188</x:v>
      </x:c>
      <x:c r="C415" s="2">
        <x:v>4</x:v>
      </x:c>
      <x:c r="D415" s="2" t="s">
        <x:v>300</x:v>
      </x:c>
      <x:c r="E415" s="2" t="s">
        <x:v>301</x:v>
      </x:c>
      <x:c r="F415" s="7">
        <x:v>4.8550000000000003E-2</x:v>
      </x:c>
      <x:c r="G415" s="2" t="s">
        <x:v>302</x:v>
      </x:c>
      <x:c r="H415" s="8">
        <x:v>0.45</x:v>
      </x:c>
      <x:c r="I415" s="9" t="n">
        <x:f t="shared" si="6">IFERROR(ABS(F415)/H415,"")</x:f>
        <x:v>0.1078888888888889</x:v>
      </x:c>
      <x:c r="J415" s="2" t="s">
        <x:v>298</x:v>
      </x:c>
      <x:c r="K415" s="8">
        <x:v>0.96296999999999999</x:v>
      </x:c>
      <x:c r="L415" s="2" t="s">
        <x:v>299</x:v>
      </x:c>
      <x:c r="M415" s="2">
        <x:v>1</x:v>
      </x:c>
      <x:c r="N415" s="2" t="s">
        <x:v>79</x:v>
      </x:c>
      <x:c r="O415" s="5">
        <x:v>57.8</x:v>
      </x:c>
      <x:c r="P415" s="2">
        <x:v>327</x:v>
      </x:c>
      <x:c r="Q415" s="2" t="n">
        <x:f>IF(OR(J415="positive",J415="negative"),1,0)</x:f>
        <x:v>1</x:v>
      </x:c>
    </x:row>
    <x:row r="416" ht="15">
      <x:c r="A416" s="2" t="s">
        <x:v>43</x:v>
      </x:c>
      <x:c r="B416" s="2" t="s">
        <x:v>188</x:v>
      </x:c>
      <x:c r="C416" s="2">
        <x:v>4</x:v>
      </x:c>
      <x:c r="D416" s="2" t="s">
        <x:v>18</x:v>
      </x:c>
      <x:c r="E416" s="2" t="s">
        <x:v>303</x:v>
      </x:c>
      <x:c r="F416" s="7">
        <x:v>-1.18E-2</x:v>
      </x:c>
      <x:c r="G416" s="2" t="s">
        <x:v>304</x:v>
      </x:c>
      <x:c r="H416" s="8">
        <x:v>7.4999999999999997E-2</x:v>
      </x:c>
      <x:c r="I416" s="9" t="n">
        <x:f t="shared" si="6">IFERROR(ABS(F416)/H416,"")</x:f>
        <x:v>0.15733333333333333</x:v>
      </x:c>
      <x:c r="J416" s="2" t="s">
        <x:v>298</x:v>
      </x:c>
      <x:c r="K416" s="8">
        <x:v>0.94681000000000004</x:v>
      </x:c>
      <x:c r="L416" s="2" t="s">
        <x:v>299</x:v>
      </x:c>
      <x:c r="M416" s="2">
        <x:v>1</x:v>
      </x:c>
      <x:c r="N416" s="2" t="s">
        <x:v>79</x:v>
      </x:c>
      <x:c r="O416" s="5">
        <x:v>57.8</x:v>
      </x:c>
      <x:c r="P416" s="2">
        <x:v>327</x:v>
      </x:c>
      <x:c r="Q416" s="2" t="n">
        <x:f>IF(OR(J416="positive",J416="negative"),1,0)</x:f>
        <x:v>1</x:v>
      </x:c>
    </x:row>
    <x:row r="417" ht="15">
      <x:c r="A417" s="2" t="s">
        <x:v>43</x:v>
      </x:c>
      <x:c r="B417" s="2" t="s">
        <x:v>188</x:v>
      </x:c>
      <x:c r="C417" s="2">
        <x:v>4</x:v>
      </x:c>
      <x:c r="D417" s="2" t="s">
        <x:v>305</x:v>
      </x:c>
      <x:c r="E417" s="2" t="s">
        <x:v>306</x:v>
      </x:c>
      <x:c r="F417" s="7">
        <x:v>2.997E-2</x:v>
      </x:c>
      <x:c r="G417" s="2" t="s">
        <x:v>304</x:v>
      </x:c>
      <x:c r="H417" s="8">
        <x:v>0.3</x:v>
      </x:c>
      <x:c r="I417" s="9" t="n">
        <x:f t="shared" si="6">IFERROR(ABS(F417)/H417,"")</x:f>
        <x:v>0.0999</x:v>
      </x:c>
      <x:c r="J417" s="2" t="s">
        <x:v>298</x:v>
      </x:c>
      <x:c r="K417" s="8">
        <x:v>0.90661999999999998</x:v>
      </x:c>
      <x:c r="L417" s="2" t="s">
        <x:v>299</x:v>
      </x:c>
      <x:c r="M417" s="2">
        <x:v>1</x:v>
      </x:c>
      <x:c r="N417" s="2" t="s">
        <x:v>79</x:v>
      </x:c>
      <x:c r="O417" s="5">
        <x:v>57.8</x:v>
      </x:c>
      <x:c r="P417" s="2">
        <x:v>327</x:v>
      </x:c>
      <x:c r="Q417" s="2" t="n">
        <x:f>IF(OR(J417="positive",J417="negative"),1,0)</x:f>
        <x:v>1</x:v>
      </x:c>
    </x:row>
    <x:row r="418" ht="15">
      <x:c r="A418" s="2" t="s">
        <x:v>43</x:v>
      </x:c>
      <x:c r="B418" s="2" t="s">
        <x:v>189</x:v>
      </x:c>
      <x:c r="C418" s="2">
        <x:v>5</x:v>
      </x:c>
      <x:c r="D418" s="2" t="s">
        <x:v>295</x:v>
      </x:c>
      <x:c r="E418" s="2" t="s">
        <x:v>296</x:v>
      </x:c>
      <x:c r="F418" s="7">
        <x:v>0.63024000000000002</x:v>
      </x:c>
      <x:c r="G418" s="2" t="s">
        <x:v>297</x:v>
      </x:c>
      <x:c r="H418" s="8">
        <x:v>3.5</x:v>
      </x:c>
      <x:c r="I418" s="9" t="n">
        <x:f t="shared" si="6">IFERROR(ABS(F418)/H418,"")</x:f>
        <x:v>0.18006857142857144</x:v>
      </x:c>
      <x:c r="J418" s="2" t="s">
        <x:v>298</x:v>
      </x:c>
      <x:c r="K418" s="8">
        <x:v>0.95601999999999998</x:v>
      </x:c>
      <x:c r="L418" s="2" t="s">
        <x:v>299</x:v>
      </x:c>
      <x:c r="M418" s="2">
        <x:v>1</x:v>
      </x:c>
      <x:c r="N418" s="2" t="s">
        <x:v>79</x:v>
      </x:c>
      <x:c r="O418" s="5">
        <x:v>62.5</x:v>
      </x:c>
      <x:c r="P418" s="2">
        <x:v>493</x:v>
      </x:c>
      <x:c r="Q418" s="2" t="n">
        <x:f>IF(OR(J418="positive",J418="negative"),1,0)</x:f>
        <x:v>1</x:v>
      </x:c>
    </x:row>
    <x:row r="419" ht="15">
      <x:c r="A419" s="2" t="s">
        <x:v>43</x:v>
      </x:c>
      <x:c r="B419" s="2" t="s">
        <x:v>189</x:v>
      </x:c>
      <x:c r="C419" s="2">
        <x:v>5</x:v>
      </x:c>
      <x:c r="D419" s="2" t="s">
        <x:v>300</x:v>
      </x:c>
      <x:c r="E419" s="2" t="s">
        <x:v>301</x:v>
      </x:c>
      <x:c r="F419" s="7">
        <x:v>6.1429999999999998E-2</x:v>
      </x:c>
      <x:c r="G419" s="2" t="s">
        <x:v>302</x:v>
      </x:c>
      <x:c r="H419" s="8">
        <x:v>0.45</x:v>
      </x:c>
      <x:c r="I419" s="9" t="n">
        <x:f t="shared" si="6">IFERROR(ABS(F419)/H419,"")</x:f>
        <x:v>0.1365111111111111</x:v>
      </x:c>
      <x:c r="J419" s="2" t="s">
        <x:v>298</x:v>
      </x:c>
      <x:c r="K419" s="8">
        <x:v>0.94359000000000004</x:v>
      </x:c>
      <x:c r="L419" s="2" t="s">
        <x:v>299</x:v>
      </x:c>
      <x:c r="M419" s="2">
        <x:v>1</x:v>
      </x:c>
      <x:c r="N419" s="2" t="s">
        <x:v>79</x:v>
      </x:c>
      <x:c r="O419" s="5">
        <x:v>62.5</x:v>
      </x:c>
      <x:c r="P419" s="2">
        <x:v>493</x:v>
      </x:c>
      <x:c r="Q419" s="2" t="n">
        <x:f>IF(OR(J419="positive",J419="negative"),1,0)</x:f>
        <x:v>1</x:v>
      </x:c>
    </x:row>
    <x:row r="420" ht="15">
      <x:c r="A420" s="2" t="s">
        <x:v>43</x:v>
      </x:c>
      <x:c r="B420" s="2" t="s">
        <x:v>189</x:v>
      </x:c>
      <x:c r="C420" s="2">
        <x:v>5</x:v>
      </x:c>
      <x:c r="D420" s="2" t="s">
        <x:v>18</x:v>
      </x:c>
      <x:c r="E420" s="2" t="s">
        <x:v>303</x:v>
      </x:c>
      <x:c r="F420" s="7">
        <x:v>-5.4900000000000001E-3</x:v>
      </x:c>
      <x:c r="G420" s="2" t="s">
        <x:v>304</x:v>
      </x:c>
      <x:c r="H420" s="8">
        <x:v>7.4999999999999997E-2</x:v>
      </x:c>
      <x:c r="I420" s="9" t="n">
        <x:f t="shared" si="6">IFERROR(ABS(F420)/H420,"")</x:f>
        <x:v>0.0732</x:v>
      </x:c>
      <x:c r="J420" s="2" t="s">
        <x:v>298</x:v>
      </x:c>
      <x:c r="K420" s="8">
        <x:v>0.88953000000000004</x:v>
      </x:c>
      <x:c r="L420" s="2" t="s">
        <x:v>299</x:v>
      </x:c>
      <x:c r="M420" s="2">
        <x:v>1</x:v>
      </x:c>
      <x:c r="N420" s="2" t="s">
        <x:v>79</x:v>
      </x:c>
      <x:c r="O420" s="5">
        <x:v>62.5</x:v>
      </x:c>
      <x:c r="P420" s="2">
        <x:v>493</x:v>
      </x:c>
      <x:c r="Q420" s="2" t="n">
        <x:f>IF(OR(J420="positive",J420="negative"),1,0)</x:f>
        <x:v>1</x:v>
      </x:c>
    </x:row>
    <x:row r="421" ht="15">
      <x:c r="A421" s="2" t="s">
        <x:v>43</x:v>
      </x:c>
      <x:c r="B421" s="2" t="s">
        <x:v>189</x:v>
      </x:c>
      <x:c r="C421" s="2">
        <x:v>5</x:v>
      </x:c>
      <x:c r="D421" s="2" t="s">
        <x:v>305</x:v>
      </x:c>
      <x:c r="E421" s="2" t="s">
        <x:v>306</x:v>
      </x:c>
      <x:c r="F421" s="7">
        <x:v>2.5999999999999999E-2</x:v>
      </x:c>
      <x:c r="G421" s="2" t="s">
        <x:v>304</x:v>
      </x:c>
      <x:c r="H421" s="8">
        <x:v>0.3</x:v>
      </x:c>
      <x:c r="I421" s="9" t="n">
        <x:f t="shared" si="6">IFERROR(ABS(F421)/H421,"")</x:f>
        <x:v>0.08666666666666667</x:v>
      </x:c>
      <x:c r="J421" s="2" t="s">
        <x:v>298</x:v>
      </x:c>
      <x:c r="K421" s="8">
        <x:v>0.89854000000000001</x:v>
      </x:c>
      <x:c r="L421" s="2" t="s">
        <x:v>299</x:v>
      </x:c>
      <x:c r="M421" s="2">
        <x:v>1</x:v>
      </x:c>
      <x:c r="N421" s="2" t="s">
        <x:v>79</x:v>
      </x:c>
      <x:c r="O421" s="5">
        <x:v>62.5</x:v>
      </x:c>
      <x:c r="P421" s="2">
        <x:v>493</x:v>
      </x:c>
      <x:c r="Q421" s="2" t="n">
        <x:f>IF(OR(J421="positive",J421="negative"),1,0)</x:f>
        <x:v>1</x:v>
      </x:c>
    </x:row>
    <x:row r="422" ht="15">
      <x:c r="A422" s="2" t="s">
        <x:v>44</x:v>
      </x:c>
      <x:c r="B422" s="2" t="s">
        <x:v>190</x:v>
      </x:c>
      <x:c r="C422" s="2">
        <x:v>1</x:v>
      </x:c>
      <x:c r="D422" s="2" t="s">
        <x:v>295</x:v>
      </x:c>
      <x:c r="E422" s="2" t="s">
        <x:v>296</x:v>
      </x:c>
      <x:c r="F422" s="7">
        <x:v>7.8100000000000003E-2</x:v>
      </x:c>
      <x:c r="G422" s="2" t="s">
        <x:v>297</x:v>
      </x:c>
      <x:c r="H422" s="8">
        <x:v>3.5</x:v>
      </x:c>
      <x:c r="I422" s="9" t="n">
        <x:f t="shared" si="6">IFERROR(ABS(F422)/H422,"")</x:f>
        <x:v>0.022314285714285714</x:v>
      </x:c>
      <x:c r="J422" s="2" t="s">
        <x:v>298</x:v>
      </x:c>
      <x:c r="K422" s="8">
        <x:v>0.96623999999999999</x:v>
      </x:c>
      <x:c r="L422" s="2" t="s">
        <x:v>299</x:v>
      </x:c>
      <x:c r="M422" s="2">
        <x:v>1</x:v>
      </x:c>
      <x:c r="N422" s="2" t="s">
        <x:v>79</x:v>
      </x:c>
      <x:c r="O422" s="5">
        <x:v>61.1</x:v>
      </x:c>
      <x:c r="P422" s="2">
        <x:v>435</x:v>
      </x:c>
      <x:c r="Q422" s="2" t="n">
        <x:f>IF(OR(J422="positive",J422="negative"),1,0)</x:f>
        <x:v>1</x:v>
      </x:c>
    </x:row>
    <x:row r="423" ht="15">
      <x:c r="A423" s="2" t="s">
        <x:v>44</x:v>
      </x:c>
      <x:c r="B423" s="2" t="s">
        <x:v>190</x:v>
      </x:c>
      <x:c r="C423" s="2">
        <x:v>1</x:v>
      </x:c>
      <x:c r="D423" s="2" t="s">
        <x:v>300</x:v>
      </x:c>
      <x:c r="E423" s="2" t="s">
        <x:v>301</x:v>
      </x:c>
      <x:c r="F423" s="7">
        <x:v>0.10813</x:v>
      </x:c>
      <x:c r="G423" s="2" t="s">
        <x:v>302</x:v>
      </x:c>
      <x:c r="H423" s="8">
        <x:v>0.45</x:v>
      </x:c>
      <x:c r="I423" s="9" t="n">
        <x:f t="shared" si="6">IFERROR(ABS(F423)/H423,"")</x:f>
        <x:v>0.24028888888888889</x:v>
      </x:c>
      <x:c r="J423" s="2" t="s">
        <x:v>298</x:v>
      </x:c>
      <x:c r="K423" s="8">
        <x:v>0.93984999999999996</x:v>
      </x:c>
      <x:c r="L423" s="2" t="s">
        <x:v>299</x:v>
      </x:c>
      <x:c r="M423" s="2">
        <x:v>1</x:v>
      </x:c>
      <x:c r="N423" s="2" t="s">
        <x:v>79</x:v>
      </x:c>
      <x:c r="O423" s="5">
        <x:v>61.1</x:v>
      </x:c>
      <x:c r="P423" s="2">
        <x:v>435</x:v>
      </x:c>
      <x:c r="Q423" s="2" t="n">
        <x:f>IF(OR(J423="positive",J423="negative"),1,0)</x:f>
        <x:v>1</x:v>
      </x:c>
    </x:row>
    <x:row r="424" ht="15">
      <x:c r="A424" s="2" t="s">
        <x:v>44</x:v>
      </x:c>
      <x:c r="B424" s="2" t="s">
        <x:v>190</x:v>
      </x:c>
      <x:c r="C424" s="2">
        <x:v>1</x:v>
      </x:c>
      <x:c r="D424" s="2" t="s">
        <x:v>18</x:v>
      </x:c>
      <x:c r="E424" s="2" t="s">
        <x:v>303</x:v>
      </x:c>
      <x:c r="F424" s="7">
        <x:v>2.4399999999999999E-3</x:v>
      </x:c>
      <x:c r="G424" s="2" t="s">
        <x:v>304</x:v>
      </x:c>
      <x:c r="H424" s="8">
        <x:v>7.4999999999999997E-2</x:v>
      </x:c>
      <x:c r="I424" s="9" t="n">
        <x:f t="shared" si="6">IFERROR(ABS(F424)/H424,"")</x:f>
        <x:v>0.03253333333333333</x:v>
      </x:c>
      <x:c r="J424" s="2" t="s">
        <x:v>298</x:v>
      </x:c>
      <x:c r="K424" s="8">
        <x:v>0.97302</x:v>
      </x:c>
      <x:c r="L424" s="2" t="s">
        <x:v>299</x:v>
      </x:c>
      <x:c r="M424" s="2">
        <x:v>1</x:v>
      </x:c>
      <x:c r="N424" s="2" t="s">
        <x:v>79</x:v>
      </x:c>
      <x:c r="O424" s="5">
        <x:v>61.1</x:v>
      </x:c>
      <x:c r="P424" s="2">
        <x:v>435</x:v>
      </x:c>
      <x:c r="Q424" s="2" t="n">
        <x:f>IF(OR(J424="positive",J424="negative"),1,0)</x:f>
        <x:v>1</x:v>
      </x:c>
    </x:row>
    <x:row r="425" ht="15">
      <x:c r="A425" s="2" t="s">
        <x:v>44</x:v>
      </x:c>
      <x:c r="B425" s="2" t="s">
        <x:v>190</x:v>
      </x:c>
      <x:c r="C425" s="2">
        <x:v>1</x:v>
      </x:c>
      <x:c r="D425" s="2" t="s">
        <x:v>305</x:v>
      </x:c>
      <x:c r="E425" s="2" t="s">
        <x:v>306</x:v>
      </x:c>
      <x:c r="F425" s="7">
        <x:v>-1.047E-2</x:v>
      </x:c>
      <x:c r="G425" s="2" t="s">
        <x:v>304</x:v>
      </x:c>
      <x:c r="H425" s="8">
        <x:v>0.3</x:v>
      </x:c>
      <x:c r="I425" s="9" t="n">
        <x:f t="shared" si="6">IFERROR(ABS(F425)/H425,"")</x:f>
        <x:v>0.0349</x:v>
      </x:c>
      <x:c r="J425" s="2" t="s">
        <x:v>298</x:v>
      </x:c>
      <x:c r="K425" s="8">
        <x:v>0.92747000000000002</x:v>
      </x:c>
      <x:c r="L425" s="2" t="s">
        <x:v>299</x:v>
      </x:c>
      <x:c r="M425" s="2">
        <x:v>1</x:v>
      </x:c>
      <x:c r="N425" s="2" t="s">
        <x:v>79</x:v>
      </x:c>
      <x:c r="O425" s="5">
        <x:v>61.1</x:v>
      </x:c>
      <x:c r="P425" s="2">
        <x:v>435</x:v>
      </x:c>
      <x:c r="Q425" s="2" t="n">
        <x:f>IF(OR(J425="positive",J425="negative"),1,0)</x:f>
        <x:v>1</x:v>
      </x:c>
    </x:row>
    <x:row r="426" ht="15">
      <x:c r="A426" s="2" t="s">
        <x:v>44</x:v>
      </x:c>
      <x:c r="B426" s="2" t="s">
        <x:v>191</x:v>
      </x:c>
      <x:c r="C426" s="2">
        <x:v>2</x:v>
      </x:c>
      <x:c r="D426" s="2" t="s">
        <x:v>295</x:v>
      </x:c>
      <x:c r="E426" s="2" t="s">
        <x:v>296</x:v>
      </x:c>
      <x:c r="F426" s="7">
        <x:v>0.20177</x:v>
      </x:c>
      <x:c r="G426" s="2" t="s">
        <x:v>297</x:v>
      </x:c>
      <x:c r="H426" s="8">
        <x:v>3.5</x:v>
      </x:c>
      <x:c r="I426" s="9" t="n">
        <x:f t="shared" si="6">IFERROR(ABS(F426)/H426,"")</x:f>
        <x:v>0.05764857142857143</x:v>
      </x:c>
      <x:c r="J426" s="2" t="s">
        <x:v>298</x:v>
      </x:c>
      <x:c r="K426" s="8">
        <x:v>0.94649000000000005</x:v>
      </x:c>
      <x:c r="L426" s="2" t="s">
        <x:v>299</x:v>
      </x:c>
      <x:c r="M426" s="2">
        <x:v>1</x:v>
      </x:c>
      <x:c r="N426" s="2" t="s">
        <x:v>79</x:v>
      </x:c>
      <x:c r="O426" s="5">
        <x:v>60.6</x:v>
      </x:c>
      <x:c r="P426" s="2">
        <x:v>258</x:v>
      </x:c>
      <x:c r="Q426" s="2" t="n">
        <x:f>IF(OR(J426="positive",J426="negative"),1,0)</x:f>
        <x:v>1</x:v>
      </x:c>
    </x:row>
    <x:row r="427" ht="15">
      <x:c r="A427" s="2" t="s">
        <x:v>44</x:v>
      </x:c>
      <x:c r="B427" s="2" t="s">
        <x:v>191</x:v>
      </x:c>
      <x:c r="C427" s="2">
        <x:v>2</x:v>
      </x:c>
      <x:c r="D427" s="2" t="s">
        <x:v>300</x:v>
      </x:c>
      <x:c r="E427" s="2" t="s">
        <x:v>301</x:v>
      </x:c>
      <x:c r="F427" s="7">
        <x:v>0.1057</x:v>
      </x:c>
      <x:c r="G427" s="2" t="s">
        <x:v>302</x:v>
      </x:c>
      <x:c r="H427" s="8">
        <x:v>0.45</x:v>
      </x:c>
      <x:c r="I427" s="9" t="n">
        <x:f t="shared" si="6">IFERROR(ABS(F427)/H427,"")</x:f>
        <x:v>0.2348888888888889</x:v>
      </x:c>
      <x:c r="J427" s="2" t="s">
        <x:v>298</x:v>
      </x:c>
      <x:c r="K427" s="8">
        <x:v>0.89666000000000001</x:v>
      </x:c>
      <x:c r="L427" s="2" t="s">
        <x:v>299</x:v>
      </x:c>
      <x:c r="M427" s="2">
        <x:v>1</x:v>
      </x:c>
      <x:c r="N427" s="2" t="s">
        <x:v>79</x:v>
      </x:c>
      <x:c r="O427" s="5">
        <x:v>60.6</x:v>
      </x:c>
      <x:c r="P427" s="2">
        <x:v>258</x:v>
      </x:c>
      <x:c r="Q427" s="2" t="n">
        <x:f>IF(OR(J427="positive",J427="negative"),1,0)</x:f>
        <x:v>1</x:v>
      </x:c>
    </x:row>
    <x:row r="428" ht="15">
      <x:c r="A428" s="2" t="s">
        <x:v>44</x:v>
      </x:c>
      <x:c r="B428" s="2" t="s">
        <x:v>191</x:v>
      </x:c>
      <x:c r="C428" s="2">
        <x:v>2</x:v>
      </x:c>
      <x:c r="D428" s="2" t="s">
        <x:v>18</x:v>
      </x:c>
      <x:c r="E428" s="2" t="s">
        <x:v>303</x:v>
      </x:c>
      <x:c r="F428" s="7">
        <x:v>1.1350000000000001E-2</x:v>
      </x:c>
      <x:c r="G428" s="2" t="s">
        <x:v>304</x:v>
      </x:c>
      <x:c r="H428" s="8">
        <x:v>7.4999999999999997E-2</x:v>
      </x:c>
      <x:c r="I428" s="9" t="n">
        <x:f t="shared" si="6">IFERROR(ABS(F428)/H428,"")</x:f>
        <x:v>0.15133333333333335</x:v>
      </x:c>
      <x:c r="J428" s="2" t="s">
        <x:v>298</x:v>
      </x:c>
      <x:c r="K428" s="8">
        <x:v>0.93991999999999998</x:v>
      </x:c>
      <x:c r="L428" s="2" t="s">
        <x:v>299</x:v>
      </x:c>
      <x:c r="M428" s="2">
        <x:v>1</x:v>
      </x:c>
      <x:c r="N428" s="2" t="s">
        <x:v>79</x:v>
      </x:c>
      <x:c r="O428" s="5">
        <x:v>60.6</x:v>
      </x:c>
      <x:c r="P428" s="2">
        <x:v>258</x:v>
      </x:c>
      <x:c r="Q428" s="2" t="n">
        <x:f>IF(OR(J428="positive",J428="negative"),1,0)</x:f>
        <x:v>1</x:v>
      </x:c>
    </x:row>
    <x:row r="429" ht="15">
      <x:c r="A429" s="2" t="s">
        <x:v>44</x:v>
      </x:c>
      <x:c r="B429" s="2" t="s">
        <x:v>191</x:v>
      </x:c>
      <x:c r="C429" s="2">
        <x:v>2</x:v>
      </x:c>
      <x:c r="D429" s="2" t="s">
        <x:v>305</x:v>
      </x:c>
      <x:c r="E429" s="2" t="s">
        <x:v>306</x:v>
      </x:c>
      <x:c r="F429" s="7">
        <x:v>-3.7359999999999997E-2</x:v>
      </x:c>
      <x:c r="G429" s="2" t="s">
        <x:v>304</x:v>
      </x:c>
      <x:c r="H429" s="8">
        <x:v>0.3</x:v>
      </x:c>
      <x:c r="I429" s="9" t="n">
        <x:f t="shared" si="6">IFERROR(ABS(F429)/H429,"")</x:f>
        <x:v>0.12453333333333333</x:v>
      </x:c>
      <x:c r="J429" s="2" t="s">
        <x:v>298</x:v>
      </x:c>
      <x:c r="K429" s="8">
        <x:v>0.93825000000000003</x:v>
      </x:c>
      <x:c r="L429" s="2" t="s">
        <x:v>299</x:v>
      </x:c>
      <x:c r="M429" s="2">
        <x:v>1</x:v>
      </x:c>
      <x:c r="N429" s="2" t="s">
        <x:v>79</x:v>
      </x:c>
      <x:c r="O429" s="5">
        <x:v>60.6</x:v>
      </x:c>
      <x:c r="P429" s="2">
        <x:v>258</x:v>
      </x:c>
      <x:c r="Q429" s="2" t="n">
        <x:f>IF(OR(J429="positive",J429="negative"),1,0)</x:f>
        <x:v>1</x:v>
      </x:c>
    </x:row>
    <x:row r="430" ht="15">
      <x:c r="A430" s="2" t="s">
        <x:v>44</x:v>
      </x:c>
      <x:c r="B430" s="2" t="s">
        <x:v>192</x:v>
      </x:c>
      <x:c r="C430" s="2">
        <x:v>3</x:v>
      </x:c>
      <x:c r="D430" s="2" t="s">
        <x:v>295</x:v>
      </x:c>
      <x:c r="E430" s="2" t="s">
        <x:v>296</x:v>
      </x:c>
      <x:c r="F430" s="7">
        <x:v>0.65315999999999996</x:v>
      </x:c>
      <x:c r="G430" s="2" t="s">
        <x:v>297</x:v>
      </x:c>
      <x:c r="H430" s="8">
        <x:v>3.5</x:v>
      </x:c>
      <x:c r="I430" s="9" t="n">
        <x:f t="shared" si="6">IFERROR(ABS(F430)/H430,"")</x:f>
        <x:v>0.18661714285714284</x:v>
      </x:c>
      <x:c r="J430" s="2" t="s">
        <x:v>298</x:v>
      </x:c>
      <x:c r="K430" s="8">
        <x:v>0.92552000000000001</x:v>
      </x:c>
      <x:c r="L430" s="2" t="s">
        <x:v>299</x:v>
      </x:c>
      <x:c r="M430" s="2">
        <x:v>1</x:v>
      </x:c>
      <x:c r="N430" s="2" t="s">
        <x:v>79</x:v>
      </x:c>
      <x:c r="O430" s="5">
        <x:v>62.3</x:v>
      </x:c>
      <x:c r="P430" s="2">
        <x:v>399</x:v>
      </x:c>
      <x:c r="Q430" s="2" t="n">
        <x:f>IF(OR(J430="positive",J430="negative"),1,0)</x:f>
        <x:v>1</x:v>
      </x:c>
    </x:row>
    <x:row r="431" ht="15">
      <x:c r="A431" s="2" t="s">
        <x:v>44</x:v>
      </x:c>
      <x:c r="B431" s="2" t="s">
        <x:v>192</x:v>
      </x:c>
      <x:c r="C431" s="2">
        <x:v>3</x:v>
      </x:c>
      <x:c r="D431" s="2" t="s">
        <x:v>300</x:v>
      </x:c>
      <x:c r="E431" s="2" t="s">
        <x:v>301</x:v>
      </x:c>
      <x:c r="F431" s="7">
        <x:v>8.3239999999999995E-2</x:v>
      </x:c>
      <x:c r="G431" s="2" t="s">
        <x:v>302</x:v>
      </x:c>
      <x:c r="H431" s="8">
        <x:v>0.45</x:v>
      </x:c>
      <x:c r="I431" s="9" t="n">
        <x:f t="shared" si="6">IFERROR(ABS(F431)/H431,"")</x:f>
        <x:v>0.18497777777777777</x:v>
      </x:c>
      <x:c r="J431" s="2" t="s">
        <x:v>298</x:v>
      </x:c>
      <x:c r="K431" s="8">
        <x:v>0.90913999999999995</x:v>
      </x:c>
      <x:c r="L431" s="2" t="s">
        <x:v>299</x:v>
      </x:c>
      <x:c r="M431" s="2">
        <x:v>1</x:v>
      </x:c>
      <x:c r="N431" s="2" t="s">
        <x:v>79</x:v>
      </x:c>
      <x:c r="O431" s="5">
        <x:v>62.3</x:v>
      </x:c>
      <x:c r="P431" s="2">
        <x:v>399</x:v>
      </x:c>
      <x:c r="Q431" s="2" t="n">
        <x:f>IF(OR(J431="positive",J431="negative"),1,0)</x:f>
        <x:v>1</x:v>
      </x:c>
    </x:row>
    <x:row r="432" ht="15">
      <x:c r="A432" s="2" t="s">
        <x:v>44</x:v>
      </x:c>
      <x:c r="B432" s="2" t="s">
        <x:v>192</x:v>
      </x:c>
      <x:c r="C432" s="2">
        <x:v>3</x:v>
      </x:c>
      <x:c r="D432" s="2" t="s">
        <x:v>18</x:v>
      </x:c>
      <x:c r="E432" s="2" t="s">
        <x:v>303</x:v>
      </x:c>
      <x:c r="F432" s="7">
        <x:v>7.4000000000000003E-3</x:v>
      </x:c>
      <x:c r="G432" s="2" t="s">
        <x:v>304</x:v>
      </x:c>
      <x:c r="H432" s="8">
        <x:v>7.4999999999999997E-2</x:v>
      </x:c>
      <x:c r="I432" s="9" t="n">
        <x:f t="shared" si="6">IFERROR(ABS(F432)/H432,"")</x:f>
        <x:v>0.09866666666666668</x:v>
      </x:c>
      <x:c r="J432" s="2" t="s">
        <x:v>298</x:v>
      </x:c>
      <x:c r="K432" s="8">
        <x:v>0.93833999999999995</x:v>
      </x:c>
      <x:c r="L432" s="2" t="s">
        <x:v>299</x:v>
      </x:c>
      <x:c r="M432" s="2">
        <x:v>1</x:v>
      </x:c>
      <x:c r="N432" s="2" t="s">
        <x:v>79</x:v>
      </x:c>
      <x:c r="O432" s="5">
        <x:v>62.3</x:v>
      </x:c>
      <x:c r="P432" s="2">
        <x:v>399</x:v>
      </x:c>
      <x:c r="Q432" s="2" t="n">
        <x:f>IF(OR(J432="positive",J432="negative"),1,0)</x:f>
        <x:v>1</x:v>
      </x:c>
    </x:row>
    <x:row r="433" ht="15">
      <x:c r="A433" s="2" t="s">
        <x:v>44</x:v>
      </x:c>
      <x:c r="B433" s="2" t="s">
        <x:v>192</x:v>
      </x:c>
      <x:c r="C433" s="2">
        <x:v>3</x:v>
      </x:c>
      <x:c r="D433" s="2" t="s">
        <x:v>305</x:v>
      </x:c>
      <x:c r="E433" s="2" t="s">
        <x:v>306</x:v>
      </x:c>
      <x:c r="F433" s="7">
        <x:v>-3.9600000000000003E-2</x:v>
      </x:c>
      <x:c r="G433" s="2" t="s">
        <x:v>304</x:v>
      </x:c>
      <x:c r="H433" s="8">
        <x:v>0.3</x:v>
      </x:c>
      <x:c r="I433" s="9" t="n">
        <x:f t="shared" si="6">IFERROR(ABS(F433)/H433,"")</x:f>
        <x:v>0.132</x:v>
      </x:c>
      <x:c r="J433" s="2" t="s">
        <x:v>298</x:v>
      </x:c>
      <x:c r="K433" s="8">
        <x:v>0.99</x:v>
      </x:c>
      <x:c r="L433" s="2" t="s">
        <x:v>299</x:v>
      </x:c>
      <x:c r="M433" s="2">
        <x:v>1</x:v>
      </x:c>
      <x:c r="N433" s="2" t="s">
        <x:v>79</x:v>
      </x:c>
      <x:c r="O433" s="5">
        <x:v>62.3</x:v>
      </x:c>
      <x:c r="P433" s="2">
        <x:v>399</x:v>
      </x:c>
      <x:c r="Q433" s="2" t="n">
        <x:f>IF(OR(J433="positive",J433="negative"),1,0)</x:f>
        <x:v>1</x:v>
      </x:c>
    </x:row>
    <x:row r="434" ht="15">
      <x:c r="A434" s="2" t="s">
        <x:v>44</x:v>
      </x:c>
      <x:c r="B434" s="2" t="s">
        <x:v>193</x:v>
      </x:c>
      <x:c r="C434" s="2">
        <x:v>4</x:v>
      </x:c>
      <x:c r="D434" s="2" t="s">
        <x:v>295</x:v>
      </x:c>
      <x:c r="E434" s="2" t="s">
        <x:v>296</x:v>
      </x:c>
      <x:c r="F434" s="7">
        <x:v>0.54959999999999998</x:v>
      </x:c>
      <x:c r="G434" s="2" t="s">
        <x:v>297</x:v>
      </x:c>
      <x:c r="H434" s="8">
        <x:v>3.5</x:v>
      </x:c>
      <x:c r="I434" s="9" t="n">
        <x:f t="shared" si="6">IFERROR(ABS(F434)/H434,"")</x:f>
        <x:v>0.15702857142857143</x:v>
      </x:c>
      <x:c r="J434" s="2" t="s">
        <x:v>298</x:v>
      </x:c>
      <x:c r="K434" s="8">
        <x:v>0.93193999999999999</x:v>
      </x:c>
      <x:c r="L434" s="2" t="s">
        <x:v>299</x:v>
      </x:c>
      <x:c r="M434" s="2">
        <x:v>1</x:v>
      </x:c>
      <x:c r="N434" s="2" t="s">
        <x:v>79</x:v>
      </x:c>
      <x:c r="O434" s="5">
        <x:v>64.5</x:v>
      </x:c>
      <x:c r="P434" s="2">
        <x:v>418</x:v>
      </x:c>
      <x:c r="Q434" s="2" t="n">
        <x:f>IF(OR(J434="positive",J434="negative"),1,0)</x:f>
        <x:v>1</x:v>
      </x:c>
    </x:row>
    <x:row r="435" ht="15">
      <x:c r="A435" s="2" t="s">
        <x:v>44</x:v>
      </x:c>
      <x:c r="B435" s="2" t="s">
        <x:v>193</x:v>
      </x:c>
      <x:c r="C435" s="2">
        <x:v>4</x:v>
      </x:c>
      <x:c r="D435" s="2" t="s">
        <x:v>300</x:v>
      </x:c>
      <x:c r="E435" s="2" t="s">
        <x:v>301</x:v>
      </x:c>
      <x:c r="F435" s="7">
        <x:v>9.7680000000000003E-2</x:v>
      </x:c>
      <x:c r="G435" s="2" t="s">
        <x:v>302</x:v>
      </x:c>
      <x:c r="H435" s="8">
        <x:v>0.45</x:v>
      </x:c>
      <x:c r="I435" s="9" t="n">
        <x:f t="shared" si="6">IFERROR(ABS(F435)/H435,"")</x:f>
        <x:v>0.21706666666666666</x:v>
      </x:c>
      <x:c r="J435" s="2" t="s">
        <x:v>298</x:v>
      </x:c>
      <x:c r="K435" s="8">
        <x:v>0.91678999999999999</x:v>
      </x:c>
      <x:c r="L435" s="2" t="s">
        <x:v>299</x:v>
      </x:c>
      <x:c r="M435" s="2">
        <x:v>1</x:v>
      </x:c>
      <x:c r="N435" s="2" t="s">
        <x:v>79</x:v>
      </x:c>
      <x:c r="O435" s="5">
        <x:v>64.5</x:v>
      </x:c>
      <x:c r="P435" s="2">
        <x:v>418</x:v>
      </x:c>
      <x:c r="Q435" s="2" t="n">
        <x:f>IF(OR(J435="positive",J435="negative"),1,0)</x:f>
        <x:v>1</x:v>
      </x:c>
    </x:row>
    <x:row r="436" ht="15">
      <x:c r="A436" s="2" t="s">
        <x:v>44</x:v>
      </x:c>
      <x:c r="B436" s="2" t="s">
        <x:v>193</x:v>
      </x:c>
      <x:c r="C436" s="2">
        <x:v>4</x:v>
      </x:c>
      <x:c r="D436" s="2" t="s">
        <x:v>18</x:v>
      </x:c>
      <x:c r="E436" s="2" t="s">
        <x:v>303</x:v>
      </x:c>
      <x:c r="F436" s="7">
        <x:v>1.6670000000000001E-2</x:v>
      </x:c>
      <x:c r="G436" s="2" t="s">
        <x:v>304</x:v>
      </x:c>
      <x:c r="H436" s="8">
        <x:v>7.4999999999999997E-2</x:v>
      </x:c>
      <x:c r="I436" s="9" t="n">
        <x:f t="shared" si="6">IFERROR(ABS(F436)/H436,"")</x:f>
        <x:v>0.2222666666666667</x:v>
      </x:c>
      <x:c r="J436" s="2" t="s">
        <x:v>298</x:v>
      </x:c>
      <x:c r="K436" s="8">
        <x:v>0.93342999999999998</x:v>
      </x:c>
      <x:c r="L436" s="2" t="s">
        <x:v>299</x:v>
      </x:c>
      <x:c r="M436" s="2">
        <x:v>1</x:v>
      </x:c>
      <x:c r="N436" s="2" t="s">
        <x:v>79</x:v>
      </x:c>
      <x:c r="O436" s="5">
        <x:v>64.5</x:v>
      </x:c>
      <x:c r="P436" s="2">
        <x:v>418</x:v>
      </x:c>
      <x:c r="Q436" s="2" t="n">
        <x:f>IF(OR(J436="positive",J436="negative"),1,0)</x:f>
        <x:v>1</x:v>
      </x:c>
    </x:row>
    <x:row r="437" ht="15">
      <x:c r="A437" s="2" t="s">
        <x:v>44</x:v>
      </x:c>
      <x:c r="B437" s="2" t="s">
        <x:v>193</x:v>
      </x:c>
      <x:c r="C437" s="2">
        <x:v>4</x:v>
      </x:c>
      <x:c r="D437" s="2" t="s">
        <x:v>305</x:v>
      </x:c>
      <x:c r="E437" s="2" t="s">
        <x:v>306</x:v>
      </x:c>
      <x:c r="F437" s="7">
        <x:v>7.8700000000000003E-3</x:v>
      </x:c>
      <x:c r="G437" s="2" t="s">
        <x:v>304</x:v>
      </x:c>
      <x:c r="H437" s="8">
        <x:v>0.3</x:v>
      </x:c>
      <x:c r="I437" s="9" t="n">
        <x:f t="shared" si="6">IFERROR(ABS(F437)/H437,"")</x:f>
        <x:v>0.026233333333333334</x:v>
      </x:c>
      <x:c r="J437" s="2" t="s">
        <x:v>298</x:v>
      </x:c>
      <x:c r="K437" s="8">
        <x:v>0.95923000000000003</x:v>
      </x:c>
      <x:c r="L437" s="2" t="s">
        <x:v>299</x:v>
      </x:c>
      <x:c r="M437" s="2">
        <x:v>1</x:v>
      </x:c>
      <x:c r="N437" s="2" t="s">
        <x:v>79</x:v>
      </x:c>
      <x:c r="O437" s="5">
        <x:v>64.5</x:v>
      </x:c>
      <x:c r="P437" s="2">
        <x:v>418</x:v>
      </x:c>
      <x:c r="Q437" s="2" t="n">
        <x:f>IF(OR(J437="positive",J437="negative"),1,0)</x:f>
        <x:v>1</x:v>
      </x:c>
    </x:row>
    <x:row r="438" ht="15">
      <x:c r="A438" s="2" t="s">
        <x:v>44</x:v>
      </x:c>
      <x:c r="B438" s="2" t="s">
        <x:v>194</x:v>
      </x:c>
      <x:c r="C438" s="2">
        <x:v>5</x:v>
      </x:c>
      <x:c r="D438" s="2" t="s">
        <x:v>295</x:v>
      </x:c>
      <x:c r="E438" s="2" t="s">
        <x:v>296</x:v>
      </x:c>
      <x:c r="F438" s="7">
        <x:v>0.19583999999999999</x:v>
      </x:c>
      <x:c r="G438" s="2" t="s">
        <x:v>297</x:v>
      </x:c>
      <x:c r="H438" s="8">
        <x:v>3.5</x:v>
      </x:c>
      <x:c r="I438" s="9" t="n">
        <x:f t="shared" si="6">IFERROR(ABS(F438)/H438,"")</x:f>
        <x:v>0.05595428571428571</x:v>
      </x:c>
      <x:c r="J438" s="2" t="s">
        <x:v>298</x:v>
      </x:c>
      <x:c r="K438" s="8">
        <x:v>0.95162000000000002</x:v>
      </x:c>
      <x:c r="L438" s="2" t="s">
        <x:v>299</x:v>
      </x:c>
      <x:c r="M438" s="2">
        <x:v>1</x:v>
      </x:c>
      <x:c r="N438" s="2" t="s">
        <x:v>79</x:v>
      </x:c>
      <x:c r="O438" s="5">
        <x:v>60</x:v>
      </x:c>
      <x:c r="P438" s="2">
        <x:v>461</x:v>
      </x:c>
      <x:c r="Q438" s="2" t="n">
        <x:f>IF(OR(J438="positive",J438="negative"),1,0)</x:f>
        <x:v>1</x:v>
      </x:c>
    </x:row>
    <x:row r="439" ht="15">
      <x:c r="A439" s="2" t="s">
        <x:v>44</x:v>
      </x:c>
      <x:c r="B439" s="2" t="s">
        <x:v>194</x:v>
      </x:c>
      <x:c r="C439" s="2">
        <x:v>5</x:v>
      </x:c>
      <x:c r="D439" s="2" t="s">
        <x:v>300</x:v>
      </x:c>
      <x:c r="E439" s="2" t="s">
        <x:v>301</x:v>
      </x:c>
      <x:c r="F439" s="7">
        <x:v>8.7160000000000001E-2</x:v>
      </x:c>
      <x:c r="G439" s="2" t="s">
        <x:v>302</x:v>
      </x:c>
      <x:c r="H439" s="8">
        <x:v>0.45</x:v>
      </x:c>
      <x:c r="I439" s="9" t="n">
        <x:f t="shared" si="6">IFERROR(ABS(F439)/H439,"")</x:f>
        <x:v>0.19368888888888888</x:v>
      </x:c>
      <x:c r="J439" s="2" t="s">
        <x:v>298</x:v>
      </x:c>
      <x:c r="K439" s="8">
        <x:v>0.96406000000000003</x:v>
      </x:c>
      <x:c r="L439" s="2" t="s">
        <x:v>299</x:v>
      </x:c>
      <x:c r="M439" s="2">
        <x:v>1</x:v>
      </x:c>
      <x:c r="N439" s="2" t="s">
        <x:v>79</x:v>
      </x:c>
      <x:c r="O439" s="5">
        <x:v>60</x:v>
      </x:c>
      <x:c r="P439" s="2">
        <x:v>461</x:v>
      </x:c>
      <x:c r="Q439" s="2" t="n">
        <x:f>IF(OR(J439="positive",J439="negative"),1,0)</x:f>
        <x:v>1</x:v>
      </x:c>
    </x:row>
    <x:row r="440" ht="15">
      <x:c r="A440" s="2" t="s">
        <x:v>44</x:v>
      </x:c>
      <x:c r="B440" s="2" t="s">
        <x:v>194</x:v>
      </x:c>
      <x:c r="C440" s="2">
        <x:v>5</x:v>
      </x:c>
      <x:c r="D440" s="2" t="s">
        <x:v>18</x:v>
      </x:c>
      <x:c r="E440" s="2" t="s">
        <x:v>303</x:v>
      </x:c>
      <x:c r="F440" s="7">
        <x:v>1.078E-2</x:v>
      </x:c>
      <x:c r="G440" s="2" t="s">
        <x:v>304</x:v>
      </x:c>
      <x:c r="H440" s="8">
        <x:v>7.4999999999999997E-2</x:v>
      </x:c>
      <x:c r="I440" s="9" t="n">
        <x:f t="shared" si="6">IFERROR(ABS(F440)/H440,"")</x:f>
        <x:v>0.14373333333333332</x:v>
      </x:c>
      <x:c r="J440" s="2" t="s">
        <x:v>298</x:v>
      </x:c>
      <x:c r="K440" s="8">
        <x:v>0.93618999999999997</x:v>
      </x:c>
      <x:c r="L440" s="2" t="s">
        <x:v>299</x:v>
      </x:c>
      <x:c r="M440" s="2">
        <x:v>1</x:v>
      </x:c>
      <x:c r="N440" s="2" t="s">
        <x:v>79</x:v>
      </x:c>
      <x:c r="O440" s="5">
        <x:v>60</x:v>
      </x:c>
      <x:c r="P440" s="2">
        <x:v>461</x:v>
      </x:c>
      <x:c r="Q440" s="2" t="n">
        <x:f>IF(OR(J440="positive",J440="negative"),1,0)</x:f>
        <x:v>1</x:v>
      </x:c>
    </x:row>
    <x:row r="441" ht="15">
      <x:c r="A441" s="2" t="s">
        <x:v>44</x:v>
      </x:c>
      <x:c r="B441" s="2" t="s">
        <x:v>194</x:v>
      </x:c>
      <x:c r="C441" s="2">
        <x:v>5</x:v>
      </x:c>
      <x:c r="D441" s="2" t="s">
        <x:v>305</x:v>
      </x:c>
      <x:c r="E441" s="2" t="s">
        <x:v>306</x:v>
      </x:c>
      <x:c r="F441" s="7">
        <x:v>-2.9409999999999999E-2</x:v>
      </x:c>
      <x:c r="G441" s="2" t="s">
        <x:v>304</x:v>
      </x:c>
      <x:c r="H441" s="8">
        <x:v>0.3</x:v>
      </x:c>
      <x:c r="I441" s="9" t="n">
        <x:f t="shared" si="6">IFERROR(ABS(F441)/H441,"")</x:f>
        <x:v>0.09803333333333333</x:v>
      </x:c>
      <x:c r="J441" s="2" t="s">
        <x:v>298</x:v>
      </x:c>
      <x:c r="K441" s="8">
        <x:v>0.94921</x:v>
      </x:c>
      <x:c r="L441" s="2" t="s">
        <x:v>299</x:v>
      </x:c>
      <x:c r="M441" s="2">
        <x:v>1</x:v>
      </x:c>
      <x:c r="N441" s="2" t="s">
        <x:v>79</x:v>
      </x:c>
      <x:c r="O441" s="5">
        <x:v>60</x:v>
      </x:c>
      <x:c r="P441" s="2">
        <x:v>461</x:v>
      </x:c>
      <x:c r="Q441" s="2" t="n">
        <x:f>IF(OR(J441="positive",J441="negative"),1,0)</x:f>
        <x:v>1</x:v>
      </x:c>
    </x:row>
    <x:row r="442" ht="15">
      <x:c r="A442" s="2" t="s">
        <x:v>45</x:v>
      </x:c>
      <x:c r="B442" s="2" t="s">
        <x:v>195</x:v>
      </x:c>
      <x:c r="C442" s="2">
        <x:v>1</x:v>
      </x:c>
      <x:c r="D442" s="2" t="s">
        <x:v>295</x:v>
      </x:c>
      <x:c r="E442" s="2" t="s">
        <x:v>296</x:v>
      </x:c>
      <x:c r="F442" s="7">
        <x:v>0.41025</x:v>
      </x:c>
      <x:c r="G442" s="2" t="s">
        <x:v>297</x:v>
      </x:c>
      <x:c r="H442" s="8">
        <x:v>3.5</x:v>
      </x:c>
      <x:c r="I442" s="9" t="n">
        <x:f t="shared" si="6">IFERROR(ABS(F442)/H442,"")</x:f>
        <x:v>0.11721428571428572</x:v>
      </x:c>
      <x:c r="J442" s="2" t="s">
        <x:v>298</x:v>
      </x:c>
      <x:c r="K442" s="8">
        <x:v>0.92811999999999995</x:v>
      </x:c>
      <x:c r="L442" s="2" t="s">
        <x:v>299</x:v>
      </x:c>
      <x:c r="M442" s="2">
        <x:v>1</x:v>
      </x:c>
      <x:c r="N442" s="2" t="s">
        <x:v>79</x:v>
      </x:c>
      <x:c r="O442" s="5">
        <x:v>59.6</x:v>
      </x:c>
      <x:c r="P442" s="2">
        <x:v>279</x:v>
      </x:c>
      <x:c r="Q442" s="2" t="n">
        <x:f>IF(OR(J442="positive",J442="negative"),1,0)</x:f>
        <x:v>1</x:v>
      </x:c>
    </x:row>
    <x:row r="443" ht="15">
      <x:c r="A443" s="2" t="s">
        <x:v>45</x:v>
      </x:c>
      <x:c r="B443" s="2" t="s">
        <x:v>195</x:v>
      </x:c>
      <x:c r="C443" s="2">
        <x:v>1</x:v>
      </x:c>
      <x:c r="D443" s="2" t="s">
        <x:v>300</x:v>
      </x:c>
      <x:c r="E443" s="2" t="s">
        <x:v>301</x:v>
      </x:c>
      <x:c r="F443" s="7">
        <x:v>4.4999999999999998E-2</x:v>
      </x:c>
      <x:c r="G443" s="2" t="s">
        <x:v>302</x:v>
      </x:c>
      <x:c r="H443" s="8">
        <x:v>0.45</x:v>
      </x:c>
      <x:c r="I443" s="9" t="n">
        <x:f t="shared" si="6">IFERROR(ABS(F443)/H443,"")</x:f>
        <x:v>0.09999999999999999</x:v>
      </x:c>
      <x:c r="J443" s="2" t="s">
        <x:v>298</x:v>
      </x:c>
      <x:c r="K443" s="8">
        <x:v>0.90681</x:v>
      </x:c>
      <x:c r="L443" s="2" t="s">
        <x:v>299</x:v>
      </x:c>
      <x:c r="M443" s="2">
        <x:v>1</x:v>
      </x:c>
      <x:c r="N443" s="2" t="s">
        <x:v>79</x:v>
      </x:c>
      <x:c r="O443" s="5">
        <x:v>59.6</x:v>
      </x:c>
      <x:c r="P443" s="2">
        <x:v>279</x:v>
      </x:c>
      <x:c r="Q443" s="2" t="n">
        <x:f>IF(OR(J443="positive",J443="negative"),1,0)</x:f>
        <x:v>1</x:v>
      </x:c>
    </x:row>
    <x:row r="444" ht="15">
      <x:c r="A444" s="2" t="s">
        <x:v>45</x:v>
      </x:c>
      <x:c r="B444" s="2" t="s">
        <x:v>195</x:v>
      </x:c>
      <x:c r="C444" s="2">
        <x:v>1</x:v>
      </x:c>
      <x:c r="D444" s="2" t="s">
        <x:v>18</x:v>
      </x:c>
      <x:c r="E444" s="2" t="s">
        <x:v>303</x:v>
      </x:c>
      <x:c r="F444" s="7">
        <x:v>1.176E-2</x:v>
      </x:c>
      <x:c r="G444" s="2" t="s">
        <x:v>304</x:v>
      </x:c>
      <x:c r="H444" s="8">
        <x:v>7.4999999999999997E-2</x:v>
      </x:c>
      <x:c r="I444" s="9" t="n">
        <x:f t="shared" si="6">IFERROR(ABS(F444)/H444,"")</x:f>
        <x:v>0.1568</x:v>
      </x:c>
      <x:c r="J444" s="2" t="s">
        <x:v>298</x:v>
      </x:c>
      <x:c r="K444" s="8">
        <x:v>0.94676000000000005</x:v>
      </x:c>
      <x:c r="L444" s="2" t="s">
        <x:v>299</x:v>
      </x:c>
      <x:c r="M444" s="2">
        <x:v>1</x:v>
      </x:c>
      <x:c r="N444" s="2" t="s">
        <x:v>79</x:v>
      </x:c>
      <x:c r="O444" s="5">
        <x:v>59.6</x:v>
      </x:c>
      <x:c r="P444" s="2">
        <x:v>279</x:v>
      </x:c>
      <x:c r="Q444" s="2" t="n">
        <x:f>IF(OR(J444="positive",J444="negative"),1,0)</x:f>
        <x:v>1</x:v>
      </x:c>
    </x:row>
    <x:row r="445" ht="15">
      <x:c r="A445" s="2" t="s">
        <x:v>45</x:v>
      </x:c>
      <x:c r="B445" s="2" t="s">
        <x:v>195</x:v>
      </x:c>
      <x:c r="C445" s="2">
        <x:v>1</x:v>
      </x:c>
      <x:c r="D445" s="2" t="s">
        <x:v>305</x:v>
      </x:c>
      <x:c r="E445" s="2" t="s">
        <x:v>306</x:v>
      </x:c>
      <x:c r="F445" s="7">
        <x:v>-3.0460000000000001E-2</x:v>
      </x:c>
      <x:c r="G445" s="2" t="s">
        <x:v>304</x:v>
      </x:c>
      <x:c r="H445" s="8">
        <x:v>0.3</x:v>
      </x:c>
      <x:c r="I445" s="9" t="n">
        <x:f t="shared" si="6">IFERROR(ABS(F445)/H445,"")</x:f>
        <x:v>0.10153333333333334</x:v>
      </x:c>
      <x:c r="J445" s="2" t="s">
        <x:v>298</x:v>
      </x:c>
      <x:c r="K445" s="8">
        <x:v>0.95242000000000004</x:v>
      </x:c>
      <x:c r="L445" s="2" t="s">
        <x:v>299</x:v>
      </x:c>
      <x:c r="M445" s="2">
        <x:v>1</x:v>
      </x:c>
      <x:c r="N445" s="2" t="s">
        <x:v>79</x:v>
      </x:c>
      <x:c r="O445" s="5">
        <x:v>59.6</x:v>
      </x:c>
      <x:c r="P445" s="2">
        <x:v>279</x:v>
      </x:c>
      <x:c r="Q445" s="2" t="n">
        <x:f>IF(OR(J445="positive",J445="negative"),1,0)</x:f>
        <x:v>1</x:v>
      </x:c>
    </x:row>
    <x:row r="446" ht="15">
      <x:c r="A446" s="2" t="s">
        <x:v>45</x:v>
      </x:c>
      <x:c r="B446" s="2" t="s">
        <x:v>196</x:v>
      </x:c>
      <x:c r="C446" s="2">
        <x:v>2</x:v>
      </x:c>
      <x:c r="D446" s="2" t="s">
        <x:v>295</x:v>
      </x:c>
      <x:c r="E446" s="2" t="s">
        <x:v>296</x:v>
      </x:c>
      <x:c r="F446" s="7">
        <x:v>0.45707999999999999</x:v>
      </x:c>
      <x:c r="G446" s="2" t="s">
        <x:v>297</x:v>
      </x:c>
      <x:c r="H446" s="8">
        <x:v>3.5</x:v>
      </x:c>
      <x:c r="I446" s="9" t="n">
        <x:f t="shared" si="6">IFERROR(ABS(F446)/H446,"")</x:f>
        <x:v>0.13059428571428572</x:v>
      </x:c>
      <x:c r="J446" s="2" t="s">
        <x:v>298</x:v>
      </x:c>
      <x:c r="K446" s="8">
        <x:v>0.93118000000000001</x:v>
      </x:c>
      <x:c r="L446" s="2" t="s">
        <x:v>299</x:v>
      </x:c>
      <x:c r="M446" s="2">
        <x:v>1</x:v>
      </x:c>
      <x:c r="N446" s="2" t="s">
        <x:v>79</x:v>
      </x:c>
      <x:c r="O446" s="5">
        <x:v>52.7</x:v>
      </x:c>
      <x:c r="P446" s="2">
        <x:v>369</x:v>
      </x:c>
      <x:c r="Q446" s="2" t="n">
        <x:f>IF(OR(J446="positive",J446="negative"),1,0)</x:f>
        <x:v>1</x:v>
      </x:c>
    </x:row>
    <x:row r="447" ht="15">
      <x:c r="A447" s="2" t="s">
        <x:v>45</x:v>
      </x:c>
      <x:c r="B447" s="2" t="s">
        <x:v>196</x:v>
      </x:c>
      <x:c r="C447" s="2">
        <x:v>2</x:v>
      </x:c>
      <x:c r="D447" s="2" t="s">
        <x:v>300</x:v>
      </x:c>
      <x:c r="E447" s="2" t="s">
        <x:v>301</x:v>
      </x:c>
      <x:c r="F447" s="7">
        <x:v>3.6470000000000002E-2</x:v>
      </x:c>
      <x:c r="G447" s="2" t="s">
        <x:v>302</x:v>
      </x:c>
      <x:c r="H447" s="8">
        <x:v>0.45</x:v>
      </x:c>
      <x:c r="I447" s="9" t="n">
        <x:f t="shared" si="6">IFERROR(ABS(F447)/H447,"")</x:f>
        <x:v>0.08104444444444445</x:v>
      </x:c>
      <x:c r="J447" s="2" t="s">
        <x:v>298</x:v>
      </x:c>
      <x:c r="K447" s="8">
        <x:v>0.98316000000000003</x:v>
      </x:c>
      <x:c r="L447" s="2" t="s">
        <x:v>299</x:v>
      </x:c>
      <x:c r="M447" s="2">
        <x:v>1</x:v>
      </x:c>
      <x:c r="N447" s="2" t="s">
        <x:v>79</x:v>
      </x:c>
      <x:c r="O447" s="5">
        <x:v>52.7</x:v>
      </x:c>
      <x:c r="P447" s="2">
        <x:v>369</x:v>
      </x:c>
      <x:c r="Q447" s="2" t="n">
        <x:f>IF(OR(J447="positive",J447="negative"),1,0)</x:f>
        <x:v>1</x:v>
      </x:c>
    </x:row>
    <x:row r="448" ht="15">
      <x:c r="A448" s="2" t="s">
        <x:v>45</x:v>
      </x:c>
      <x:c r="B448" s="2" t="s">
        <x:v>196</x:v>
      </x:c>
      <x:c r="C448" s="2">
        <x:v>2</x:v>
      </x:c>
      <x:c r="D448" s="2" t="s">
        <x:v>18</x:v>
      </x:c>
      <x:c r="E448" s="2" t="s">
        <x:v>303</x:v>
      </x:c>
      <x:c r="F448" s="7">
        <x:v>1.728E-2</x:v>
      </x:c>
      <x:c r="G448" s="2" t="s">
        <x:v>304</x:v>
      </x:c>
      <x:c r="H448" s="8">
        <x:v>7.4999999999999997E-2</x:v>
      </x:c>
      <x:c r="I448" s="9" t="n">
        <x:f t="shared" si="6">IFERROR(ABS(F448)/H448,"")</x:f>
        <x:v>0.23040000000000002</x:v>
      </x:c>
      <x:c r="J448" s="2" t="s">
        <x:v>298</x:v>
      </x:c>
      <x:c r="K448" s="8">
        <x:v>0.90883999999999998</x:v>
      </x:c>
      <x:c r="L448" s="2" t="s">
        <x:v>299</x:v>
      </x:c>
      <x:c r="M448" s="2">
        <x:v>1</x:v>
      </x:c>
      <x:c r="N448" s="2" t="s">
        <x:v>79</x:v>
      </x:c>
      <x:c r="O448" s="5">
        <x:v>52.7</x:v>
      </x:c>
      <x:c r="P448" s="2">
        <x:v>369</x:v>
      </x:c>
      <x:c r="Q448" s="2" t="n">
        <x:f>IF(OR(J448="positive",J448="negative"),1,0)</x:f>
        <x:v>1</x:v>
      </x:c>
    </x:row>
    <x:row r="449" ht="15">
      <x:c r="A449" s="2" t="s">
        <x:v>45</x:v>
      </x:c>
      <x:c r="B449" s="2" t="s">
        <x:v>196</x:v>
      </x:c>
      <x:c r="C449" s="2">
        <x:v>2</x:v>
      </x:c>
      <x:c r="D449" s="2" t="s">
        <x:v>305</x:v>
      </x:c>
      <x:c r="E449" s="2" t="s">
        <x:v>306</x:v>
      </x:c>
      <x:c r="F449" s="7">
        <x:v>-2.0639999999999999E-2</x:v>
      </x:c>
      <x:c r="G449" s="2" t="s">
        <x:v>304</x:v>
      </x:c>
      <x:c r="H449" s="8">
        <x:v>0.3</x:v>
      </x:c>
      <x:c r="I449" s="9" t="n">
        <x:f t="shared" si="6">IFERROR(ABS(F449)/H449,"")</x:f>
        <x:v>0.0688</x:v>
      </x:c>
      <x:c r="J449" s="2" t="s">
        <x:v>298</x:v>
      </x:c>
      <x:c r="K449" s="8">
        <x:v>0.94660999999999995</x:v>
      </x:c>
      <x:c r="L449" s="2" t="s">
        <x:v>299</x:v>
      </x:c>
      <x:c r="M449" s="2">
        <x:v>1</x:v>
      </x:c>
      <x:c r="N449" s="2" t="s">
        <x:v>79</x:v>
      </x:c>
      <x:c r="O449" s="5">
        <x:v>52.7</x:v>
      </x:c>
      <x:c r="P449" s="2">
        <x:v>369</x:v>
      </x:c>
      <x:c r="Q449" s="2" t="n">
        <x:f>IF(OR(J449="positive",J449="negative"),1,0)</x:f>
        <x:v>1</x:v>
      </x:c>
    </x:row>
    <x:row r="450" ht="15">
      <x:c r="A450" s="2" t="s">
        <x:v>45</x:v>
      </x:c>
      <x:c r="B450" s="2" t="s">
        <x:v>197</x:v>
      </x:c>
      <x:c r="C450" s="2">
        <x:v>3</x:v>
      </x:c>
      <x:c r="D450" s="2" t="s">
        <x:v>295</x:v>
      </x:c>
      <x:c r="E450" s="2" t="s">
        <x:v>296</x:v>
      </x:c>
      <x:c r="F450" s="7">
        <x:v>0.46326000000000001</x:v>
      </x:c>
      <x:c r="G450" s="2" t="s">
        <x:v>297</x:v>
      </x:c>
      <x:c r="H450" s="8">
        <x:v>3.5</x:v>
      </x:c>
      <x:c r="I450" s="9" t="n">
        <x:f t="shared" ref="I450:I513" si="7">IFERROR(ABS(F450)/H450,"")</x:f>
        <x:v>0.13236</x:v>
      </x:c>
      <x:c r="J450" s="2" t="s">
        <x:v>307</x:v>
      </x:c>
      <x:c r="K450" s="8">
        <x:v>0.56228</x:v>
      </x:c>
      <x:c r="L450" s="2" t="s">
        <x:v>309</x:v>
      </x:c>
      <x:c r="M450" s="2">
        <x:v>1</x:v>
      </x:c>
      <x:c r="N450" s="2" t="s">
        <x:v>79</x:v>
      </x:c>
      <x:c r="O450" s="5">
        <x:v>50</x:v>
      </x:c>
      <x:c r="P450" s="2">
        <x:v>474</x:v>
      </x:c>
      <x:c r="Q450" s="2" t="n">
        <x:f>IF(OR(J450="positive",J450="negative"),1,0)</x:f>
        <x:v>0</x:v>
      </x:c>
    </x:row>
    <x:row r="451" ht="15">
      <x:c r="A451" s="2" t="s">
        <x:v>45</x:v>
      </x:c>
      <x:c r="B451" s="2" t="s">
        <x:v>197</x:v>
      </x:c>
      <x:c r="C451" s="2">
        <x:v>3</x:v>
      </x:c>
      <x:c r="D451" s="2" t="s">
        <x:v>300</x:v>
      </x:c>
      <x:c r="E451" s="2" t="s">
        <x:v>301</x:v>
      </x:c>
      <x:c r="F451" s="7">
        <x:v>5.8040000000000001E-2</x:v>
      </x:c>
      <x:c r="G451" s="2" t="s">
        <x:v>302</x:v>
      </x:c>
      <x:c r="H451" s="8">
        <x:v>0.45</x:v>
      </x:c>
      <x:c r="I451" s="9" t="n">
        <x:f t="shared" si="7">IFERROR(ABS(F451)/H451,"")</x:f>
        <x:v>0.12897777777777777</x:v>
      </x:c>
      <x:c r="J451" s="2" t="s">
        <x:v>298</x:v>
      </x:c>
      <x:c r="K451" s="8">
        <x:v>0.92383000000000004</x:v>
      </x:c>
      <x:c r="L451" s="2" t="s">
        <x:v>299</x:v>
      </x:c>
      <x:c r="M451" s="2">
        <x:v>1</x:v>
      </x:c>
      <x:c r="N451" s="2" t="s">
        <x:v>79</x:v>
      </x:c>
      <x:c r="O451" s="5">
        <x:v>50</x:v>
      </x:c>
      <x:c r="P451" s="2">
        <x:v>474</x:v>
      </x:c>
      <x:c r="Q451" s="2" t="n">
        <x:f>IF(OR(J451="positive",J451="negative"),1,0)</x:f>
        <x:v>1</x:v>
      </x:c>
    </x:row>
    <x:row r="452" ht="15">
      <x:c r="A452" s="2" t="s">
        <x:v>45</x:v>
      </x:c>
      <x:c r="B452" s="2" t="s">
        <x:v>197</x:v>
      </x:c>
      <x:c r="C452" s="2">
        <x:v>3</x:v>
      </x:c>
      <x:c r="D452" s="2" t="s">
        <x:v>18</x:v>
      </x:c>
      <x:c r="E452" s="2" t="s">
        <x:v>303</x:v>
      </x:c>
      <x:c r="F452" s="7">
        <x:v>8.1000000000000003E-2</x:v>
      </x:c>
      <x:c r="G452" s="2" t="s">
        <x:v>304</x:v>
      </x:c>
      <x:c r="H452" s="8">
        <x:v>7.4999999999999997E-2</x:v>
      </x:c>
      <x:c r="I452" s="9" t="n">
        <x:f t="shared" si="7">IFERROR(ABS(F452)/H452,"")</x:f>
        <x:v>1.08</x:v>
      </x:c>
      <x:c r="J452" s="2" t="s">
        <x:v>310</x:v>
      </x:c>
      <x:c r="K452" s="8">
        <x:v>0.95252999999999999</x:v>
      </x:c>
      <x:c r="L452" s="2" t="s">
        <x:v>311</x:v>
      </x:c>
      <x:c r="M452" s="2">
        <x:v>1</x:v>
      </x:c>
      <x:c r="N452" s="2" t="s">
        <x:v>79</x:v>
      </x:c>
      <x:c r="O452" s="5">
        <x:v>50</x:v>
      </x:c>
      <x:c r="P452" s="2">
        <x:v>474</x:v>
      </x:c>
      <x:c r="Q452" s="2" t="n">
        <x:f>IF(OR(J452="positive",J452="negative"),1,0)</x:f>
        <x:v>1</x:v>
      </x:c>
    </x:row>
    <x:row r="453" ht="15">
      <x:c r="A453" s="2" t="s">
        <x:v>45</x:v>
      </x:c>
      <x:c r="B453" s="2" t="s">
        <x:v>197</x:v>
      </x:c>
      <x:c r="C453" s="2">
        <x:v>3</x:v>
      </x:c>
      <x:c r="D453" s="2" t="s">
        <x:v>305</x:v>
      </x:c>
      <x:c r="E453" s="2" t="s">
        <x:v>306</x:v>
      </x:c>
      <x:c r="F453" s="7">
        <x:v>3.1E-4</x:v>
      </x:c>
      <x:c r="G453" s="2" t="s">
        <x:v>304</x:v>
      </x:c>
      <x:c r="H453" s="8">
        <x:v>0.3</x:v>
      </x:c>
      <x:c r="I453" s="9" t="n">
        <x:f t="shared" si="7">IFERROR(ABS(F453)/H453,"")</x:f>
        <x:v>0.0010333333333333334</x:v>
      </x:c>
      <x:c r="J453" s="2" t="s">
        <x:v>298</x:v>
      </x:c>
      <x:c r="K453" s="8">
        <x:v>0.94262999999999997</x:v>
      </x:c>
      <x:c r="L453" s="2" t="s">
        <x:v>299</x:v>
      </x:c>
      <x:c r="M453" s="2">
        <x:v>1</x:v>
      </x:c>
      <x:c r="N453" s="2" t="s">
        <x:v>79</x:v>
      </x:c>
      <x:c r="O453" s="5">
        <x:v>50</x:v>
      </x:c>
      <x:c r="P453" s="2">
        <x:v>474</x:v>
      </x:c>
      <x:c r="Q453" s="2" t="n">
        <x:f>IF(OR(J453="positive",J453="negative"),1,0)</x:f>
        <x:v>1</x:v>
      </x:c>
    </x:row>
    <x:row r="454" ht="15">
      <x:c r="A454" s="2" t="s">
        <x:v>45</x:v>
      </x:c>
      <x:c r="B454" s="2" t="s">
        <x:v>198</x:v>
      </x:c>
      <x:c r="C454" s="2">
        <x:v>4</x:v>
      </x:c>
      <x:c r="D454" s="2" t="s">
        <x:v>295</x:v>
      </x:c>
      <x:c r="E454" s="2" t="s">
        <x:v>296</x:v>
      </x:c>
      <x:c r="F454" s="7">
        <x:v>0.44858999999999999</x:v>
      </x:c>
      <x:c r="G454" s="2" t="s">
        <x:v>297</x:v>
      </x:c>
      <x:c r="H454" s="8">
        <x:v>3.5</x:v>
      </x:c>
      <x:c r="I454" s="9" t="n">
        <x:f t="shared" si="7">IFERROR(ABS(F454)/H454,"")</x:f>
        <x:v>0.12816857142857144</x:v>
      </x:c>
      <x:c r="J454" s="2" t="s">
        <x:v>298</x:v>
      </x:c>
      <x:c r="K454" s="8">
        <x:v>0.95808000000000004</x:v>
      </x:c>
      <x:c r="L454" s="2" t="s">
        <x:v>299</x:v>
      </x:c>
      <x:c r="M454" s="2">
        <x:v>1</x:v>
      </x:c>
      <x:c r="N454" s="2" t="s">
        <x:v>79</x:v>
      </x:c>
      <x:c r="O454" s="5">
        <x:v>56.2</x:v>
      </x:c>
      <x:c r="P454" s="2">
        <x:v>337</x:v>
      </x:c>
      <x:c r="Q454" s="2" t="n">
        <x:f>IF(OR(J454="positive",J454="negative"),1,0)</x:f>
        <x:v>1</x:v>
      </x:c>
    </x:row>
    <x:row r="455" ht="15">
      <x:c r="A455" s="2" t="s">
        <x:v>45</x:v>
      </x:c>
      <x:c r="B455" s="2" t="s">
        <x:v>198</x:v>
      </x:c>
      <x:c r="C455" s="2">
        <x:v>4</x:v>
      </x:c>
      <x:c r="D455" s="2" t="s">
        <x:v>300</x:v>
      </x:c>
      <x:c r="E455" s="2" t="s">
        <x:v>301</x:v>
      </x:c>
      <x:c r="F455" s="7">
        <x:v>6.9970000000000004E-2</x:v>
      </x:c>
      <x:c r="G455" s="2" t="s">
        <x:v>302</x:v>
      </x:c>
      <x:c r="H455" s="8">
        <x:v>0.45</x:v>
      </x:c>
      <x:c r="I455" s="9" t="n">
        <x:f t="shared" si="7">IFERROR(ABS(F455)/H455,"")</x:f>
        <x:v>0.1554888888888889</x:v>
      </x:c>
      <x:c r="J455" s="2" t="s">
        <x:v>298</x:v>
      </x:c>
      <x:c r="K455" s="8">
        <x:v>0.92503000000000002</x:v>
      </x:c>
      <x:c r="L455" s="2" t="s">
        <x:v>299</x:v>
      </x:c>
      <x:c r="M455" s="2">
        <x:v>1</x:v>
      </x:c>
      <x:c r="N455" s="2" t="s">
        <x:v>79</x:v>
      </x:c>
      <x:c r="O455" s="5">
        <x:v>56.2</x:v>
      </x:c>
      <x:c r="P455" s="2">
        <x:v>337</x:v>
      </x:c>
      <x:c r="Q455" s="2" t="n">
        <x:f>IF(OR(J455="positive",J455="negative"),1,0)</x:f>
        <x:v>1</x:v>
      </x:c>
    </x:row>
    <x:row r="456" ht="15">
      <x:c r="A456" s="2" t="s">
        <x:v>45</x:v>
      </x:c>
      <x:c r="B456" s="2" t="s">
        <x:v>198</x:v>
      </x:c>
      <x:c r="C456" s="2">
        <x:v>4</x:v>
      </x:c>
      <x:c r="D456" s="2" t="s">
        <x:v>18</x:v>
      </x:c>
      <x:c r="E456" s="2" t="s">
        <x:v>303</x:v>
      </x:c>
      <x:c r="F456" s="7">
        <x:v>2.6259999999999999E-2</x:v>
      </x:c>
      <x:c r="G456" s="2" t="s">
        <x:v>304</x:v>
      </x:c>
      <x:c r="H456" s="8">
        <x:v>7.4999999999999997E-2</x:v>
      </x:c>
      <x:c r="I456" s="9" t="n">
        <x:f t="shared" si="7">IFERROR(ABS(F456)/H456,"")</x:f>
        <x:v>0.35013333333333335</x:v>
      </x:c>
      <x:c r="J456" s="2" t="s">
        <x:v>298</x:v>
      </x:c>
      <x:c r="K456" s="8">
        <x:v>0.89759999999999995</x:v>
      </x:c>
      <x:c r="L456" s="2" t="s">
        <x:v>299</x:v>
      </x:c>
      <x:c r="M456" s="2">
        <x:v>1</x:v>
      </x:c>
      <x:c r="N456" s="2" t="s">
        <x:v>79</x:v>
      </x:c>
      <x:c r="O456" s="5">
        <x:v>56.2</x:v>
      </x:c>
      <x:c r="P456" s="2">
        <x:v>337</x:v>
      </x:c>
      <x:c r="Q456" s="2" t="n">
        <x:f>IF(OR(J456="positive",J456="negative"),1,0)</x:f>
        <x:v>1</x:v>
      </x:c>
    </x:row>
    <x:row r="457" ht="15">
      <x:c r="A457" s="2" t="s">
        <x:v>45</x:v>
      </x:c>
      <x:c r="B457" s="2" t="s">
        <x:v>198</x:v>
      </x:c>
      <x:c r="C457" s="2">
        <x:v>4</x:v>
      </x:c>
      <x:c r="D457" s="2" t="s">
        <x:v>305</x:v>
      </x:c>
      <x:c r="E457" s="2" t="s">
        <x:v>306</x:v>
      </x:c>
      <x:c r="F457" s="7">
        <x:v>1.3259999999999999E-2</x:v>
      </x:c>
      <x:c r="G457" s="2" t="s">
        <x:v>304</x:v>
      </x:c>
      <x:c r="H457" s="8">
        <x:v>0.3</x:v>
      </x:c>
      <x:c r="I457" s="9" t="n">
        <x:f t="shared" si="7">IFERROR(ABS(F457)/H457,"")</x:f>
        <x:v>0.044199999999999996</x:v>
      </x:c>
      <x:c r="J457" s="2" t="s">
        <x:v>298</x:v>
      </x:c>
      <x:c r="K457" s="8">
        <x:v>0.89949000000000001</x:v>
      </x:c>
      <x:c r="L457" s="2" t="s">
        <x:v>299</x:v>
      </x:c>
      <x:c r="M457" s="2">
        <x:v>1</x:v>
      </x:c>
      <x:c r="N457" s="2" t="s">
        <x:v>79</x:v>
      </x:c>
      <x:c r="O457" s="5">
        <x:v>56.2</x:v>
      </x:c>
      <x:c r="P457" s="2">
        <x:v>337</x:v>
      </x:c>
      <x:c r="Q457" s="2" t="n">
        <x:f>IF(OR(J457="positive",J457="negative"),1,0)</x:f>
        <x:v>1</x:v>
      </x:c>
    </x:row>
    <x:row r="458" ht="15">
      <x:c r="A458" s="2" t="s">
        <x:v>45</x:v>
      </x:c>
      <x:c r="B458" s="2" t="s">
        <x:v>199</x:v>
      </x:c>
      <x:c r="C458" s="2">
        <x:v>5</x:v>
      </x:c>
      <x:c r="D458" s="2" t="s">
        <x:v>295</x:v>
      </x:c>
      <x:c r="E458" s="2" t="s">
        <x:v>296</x:v>
      </x:c>
      <x:c r="F458" s="7">
        <x:v>0.43465999999999999</x:v>
      </x:c>
      <x:c r="G458" s="2" t="s">
        <x:v>297</x:v>
      </x:c>
      <x:c r="H458" s="8">
        <x:v>3.5</x:v>
      </x:c>
      <x:c r="I458" s="9" t="n">
        <x:f t="shared" si="7">IFERROR(ABS(F458)/H458,"")</x:f>
        <x:v>0.12418857142857143</x:v>
      </x:c>
      <x:c r="J458" s="2" t="s">
        <x:v>298</x:v>
      </x:c>
      <x:c r="K458" s="8">
        <x:v>0.93769999999999998</x:v>
      </x:c>
      <x:c r="L458" s="2" t="s">
        <x:v>299</x:v>
      </x:c>
      <x:c r="M458" s="2">
        <x:v>1</x:v>
      </x:c>
      <x:c r="N458" s="2" t="s">
        <x:v>79</x:v>
      </x:c>
      <x:c r="O458" s="5">
        <x:v>61.1</x:v>
      </x:c>
      <x:c r="P458" s="2">
        <x:v>365</x:v>
      </x:c>
      <x:c r="Q458" s="2" t="n">
        <x:f>IF(OR(J458="positive",J458="negative"),1,0)</x:f>
        <x:v>1</x:v>
      </x:c>
    </x:row>
    <x:row r="459" ht="15">
      <x:c r="A459" s="2" t="s">
        <x:v>45</x:v>
      </x:c>
      <x:c r="B459" s="2" t="s">
        <x:v>199</x:v>
      </x:c>
      <x:c r="C459" s="2">
        <x:v>5</x:v>
      </x:c>
      <x:c r="D459" s="2" t="s">
        <x:v>300</x:v>
      </x:c>
      <x:c r="E459" s="2" t="s">
        <x:v>301</x:v>
      </x:c>
      <x:c r="F459" s="7">
        <x:v>5.9970000000000002E-2</x:v>
      </x:c>
      <x:c r="G459" s="2" t="s">
        <x:v>302</x:v>
      </x:c>
      <x:c r="H459" s="8">
        <x:v>0.45</x:v>
      </x:c>
      <x:c r="I459" s="9" t="n">
        <x:f t="shared" si="7">IFERROR(ABS(F459)/H459,"")</x:f>
        <x:v>0.13326666666666667</x:v>
      </x:c>
      <x:c r="J459" s="2" t="s">
        <x:v>298</x:v>
      </x:c>
      <x:c r="K459" s="8">
        <x:v>0.95394000000000001</x:v>
      </x:c>
      <x:c r="L459" s="2" t="s">
        <x:v>299</x:v>
      </x:c>
      <x:c r="M459" s="2">
        <x:v>1</x:v>
      </x:c>
      <x:c r="N459" s="2" t="s">
        <x:v>79</x:v>
      </x:c>
      <x:c r="O459" s="5">
        <x:v>61.1</x:v>
      </x:c>
      <x:c r="P459" s="2">
        <x:v>365</x:v>
      </x:c>
      <x:c r="Q459" s="2" t="n">
        <x:f>IF(OR(J459="positive",J459="negative"),1,0)</x:f>
        <x:v>1</x:v>
      </x:c>
    </x:row>
    <x:row r="460" ht="15">
      <x:c r="A460" s="2" t="s">
        <x:v>45</x:v>
      </x:c>
      <x:c r="B460" s="2" t="s">
        <x:v>199</x:v>
      </x:c>
      <x:c r="C460" s="2">
        <x:v>5</x:v>
      </x:c>
      <x:c r="D460" s="2" t="s">
        <x:v>18</x:v>
      </x:c>
      <x:c r="E460" s="2" t="s">
        <x:v>303</x:v>
      </x:c>
      <x:c r="F460" s="7">
        <x:v>1.0410000000000001E-2</x:v>
      </x:c>
      <x:c r="G460" s="2" t="s">
        <x:v>304</x:v>
      </x:c>
      <x:c r="H460" s="8">
        <x:v>7.4999999999999997E-2</x:v>
      </x:c>
      <x:c r="I460" s="9" t="n">
        <x:f t="shared" si="7">IFERROR(ABS(F460)/H460,"")</x:f>
        <x:v>0.1388</x:v>
      </x:c>
      <x:c r="J460" s="2" t="s">
        <x:v>298</x:v>
      </x:c>
      <x:c r="K460" s="8">
        <x:v>0.91501999999999994</x:v>
      </x:c>
      <x:c r="L460" s="2" t="s">
        <x:v>299</x:v>
      </x:c>
      <x:c r="M460" s="2">
        <x:v>1</x:v>
      </x:c>
      <x:c r="N460" s="2" t="s">
        <x:v>79</x:v>
      </x:c>
      <x:c r="O460" s="5">
        <x:v>61.1</x:v>
      </x:c>
      <x:c r="P460" s="2">
        <x:v>365</x:v>
      </x:c>
      <x:c r="Q460" s="2" t="n">
        <x:f>IF(OR(J460="positive",J460="negative"),1,0)</x:f>
        <x:v>1</x:v>
      </x:c>
    </x:row>
    <x:row r="461" ht="15">
      <x:c r="A461" s="2" t="s">
        <x:v>45</x:v>
      </x:c>
      <x:c r="B461" s="2" t="s">
        <x:v>199</x:v>
      </x:c>
      <x:c r="C461" s="2">
        <x:v>5</x:v>
      </x:c>
      <x:c r="D461" s="2" t="s">
        <x:v>305</x:v>
      </x:c>
      <x:c r="E461" s="2" t="s">
        <x:v>306</x:v>
      </x:c>
      <x:c r="F461" s="7">
        <x:v>-5.1720000000000002E-2</x:v>
      </x:c>
      <x:c r="G461" s="2" t="s">
        <x:v>304</x:v>
      </x:c>
      <x:c r="H461" s="8">
        <x:v>0.3</x:v>
      </x:c>
      <x:c r="I461" s="9" t="n">
        <x:f t="shared" si="7">IFERROR(ABS(F461)/H461,"")</x:f>
        <x:v>0.17240000000000003</x:v>
      </x:c>
      <x:c r="J461" s="2" t="s">
        <x:v>298</x:v>
      </x:c>
      <x:c r="K461" s="8">
        <x:v>0.96216000000000002</x:v>
      </x:c>
      <x:c r="L461" s="2" t="s">
        <x:v>299</x:v>
      </x:c>
      <x:c r="M461" s="2">
        <x:v>1</x:v>
      </x:c>
      <x:c r="N461" s="2" t="s">
        <x:v>79</x:v>
      </x:c>
      <x:c r="O461" s="5">
        <x:v>61.1</x:v>
      </x:c>
      <x:c r="P461" s="2">
        <x:v>365</x:v>
      </x:c>
      <x:c r="Q461" s="2" t="n">
        <x:f>IF(OR(J461="positive",J461="negative"),1,0)</x:f>
        <x:v>1</x:v>
      </x:c>
    </x:row>
    <x:row r="462" ht="15">
      <x:c r="A462" s="2" t="s">
        <x:v>46</x:v>
      </x:c>
      <x:c r="B462" s="2" t="s">
        <x:v>200</x:v>
      </x:c>
      <x:c r="C462" s="2">
        <x:v>1</x:v>
      </x:c>
      <x:c r="D462" s="2" t="s">
        <x:v>295</x:v>
      </x:c>
      <x:c r="E462" s="2" t="s">
        <x:v>296</x:v>
      </x:c>
      <x:c r="F462" s="7">
        <x:v>0.37927</x:v>
      </x:c>
      <x:c r="G462" s="2" t="s">
        <x:v>297</x:v>
      </x:c>
      <x:c r="H462" s="8">
        <x:v>3.5</x:v>
      </x:c>
      <x:c r="I462" s="9" t="n">
        <x:f t="shared" si="7">IFERROR(ABS(F462)/H462,"")</x:f>
        <x:v>0.10836285714285714</x:v>
      </x:c>
      <x:c r="J462" s="2" t="s">
        <x:v>298</x:v>
      </x:c>
      <x:c r="K462" s="8">
        <x:v>0.91920000000000002</x:v>
      </x:c>
      <x:c r="L462" s="2" t="s">
        <x:v>299</x:v>
      </x:c>
      <x:c r="M462" s="2">
        <x:v>1</x:v>
      </x:c>
      <x:c r="N462" s="2" t="s">
        <x:v>79</x:v>
      </x:c>
      <x:c r="O462" s="5">
        <x:v>62.2</x:v>
      </x:c>
      <x:c r="P462" s="2">
        <x:v>494</x:v>
      </x:c>
      <x:c r="Q462" s="2" t="n">
        <x:f>IF(OR(J462="positive",J462="negative"),1,0)</x:f>
        <x:v>1</x:v>
      </x:c>
    </x:row>
    <x:row r="463" ht="15">
      <x:c r="A463" s="2" t="s">
        <x:v>46</x:v>
      </x:c>
      <x:c r="B463" s="2" t="s">
        <x:v>200</x:v>
      </x:c>
      <x:c r="C463" s="2">
        <x:v>1</x:v>
      </x:c>
      <x:c r="D463" s="2" t="s">
        <x:v>300</x:v>
      </x:c>
      <x:c r="E463" s="2" t="s">
        <x:v>301</x:v>
      </x:c>
      <x:c r="F463" s="7">
        <x:v>7.4630000000000002E-2</x:v>
      </x:c>
      <x:c r="G463" s="2" t="s">
        <x:v>302</x:v>
      </x:c>
      <x:c r="H463" s="8">
        <x:v>0.45</x:v>
      </x:c>
      <x:c r="I463" s="9" t="n">
        <x:f t="shared" si="7">IFERROR(ABS(F463)/H463,"")</x:f>
        <x:v>0.16584444444444443</x:v>
      </x:c>
      <x:c r="J463" s="2" t="s">
        <x:v>298</x:v>
      </x:c>
      <x:c r="K463" s="8">
        <x:v>0.93562000000000001</x:v>
      </x:c>
      <x:c r="L463" s="2" t="s">
        <x:v>299</x:v>
      </x:c>
      <x:c r="M463" s="2">
        <x:v>1</x:v>
      </x:c>
      <x:c r="N463" s="2" t="s">
        <x:v>79</x:v>
      </x:c>
      <x:c r="O463" s="5">
        <x:v>62.2</x:v>
      </x:c>
      <x:c r="P463" s="2">
        <x:v>494</x:v>
      </x:c>
      <x:c r="Q463" s="2" t="n">
        <x:f>IF(OR(J463="positive",J463="negative"),1,0)</x:f>
        <x:v>1</x:v>
      </x:c>
    </x:row>
    <x:row r="464" ht="15">
      <x:c r="A464" s="2" t="s">
        <x:v>46</x:v>
      </x:c>
      <x:c r="B464" s="2" t="s">
        <x:v>200</x:v>
      </x:c>
      <x:c r="C464" s="2">
        <x:v>1</x:v>
      </x:c>
      <x:c r="D464" s="2" t="s">
        <x:v>18</x:v>
      </x:c>
      <x:c r="E464" s="2" t="s">
        <x:v>303</x:v>
      </x:c>
      <x:c r="F464" s="7">
        <x:v>1.2579999999999999E-2</x:v>
      </x:c>
      <x:c r="G464" s="2" t="s">
        <x:v>304</x:v>
      </x:c>
      <x:c r="H464" s="8">
        <x:v>7.4999999999999997E-2</x:v>
      </x:c>
      <x:c r="I464" s="9" t="n">
        <x:f t="shared" si="7">IFERROR(ABS(F464)/H464,"")</x:f>
        <x:v>0.16773333333333332</x:v>
      </x:c>
      <x:c r="J464" s="2" t="s">
        <x:v>298</x:v>
      </x:c>
      <x:c r="K464" s="8">
        <x:v>0.97082000000000002</x:v>
      </x:c>
      <x:c r="L464" s="2" t="s">
        <x:v>299</x:v>
      </x:c>
      <x:c r="M464" s="2">
        <x:v>1</x:v>
      </x:c>
      <x:c r="N464" s="2" t="s">
        <x:v>79</x:v>
      </x:c>
      <x:c r="O464" s="5">
        <x:v>62.2</x:v>
      </x:c>
      <x:c r="P464" s="2">
        <x:v>494</x:v>
      </x:c>
      <x:c r="Q464" s="2" t="n">
        <x:f>IF(OR(J464="positive",J464="negative"),1,0)</x:f>
        <x:v>1</x:v>
      </x:c>
    </x:row>
    <x:row r="465" ht="15">
      <x:c r="A465" s="2" t="s">
        <x:v>46</x:v>
      </x:c>
      <x:c r="B465" s="2" t="s">
        <x:v>200</x:v>
      </x:c>
      <x:c r="C465" s="2">
        <x:v>1</x:v>
      </x:c>
      <x:c r="D465" s="2" t="s">
        <x:v>305</x:v>
      </x:c>
      <x:c r="E465" s="2" t="s">
        <x:v>306</x:v>
      </x:c>
      <x:c r="F465" s="7">
        <x:v>-8.2400000000000008E-3</x:v>
      </x:c>
      <x:c r="G465" s="2" t="s">
        <x:v>304</x:v>
      </x:c>
      <x:c r="H465" s="8">
        <x:v>0.3</x:v>
      </x:c>
      <x:c r="I465" s="9" t="n">
        <x:f t="shared" si="7">IFERROR(ABS(F465)/H465,"")</x:f>
        <x:v>0.02746666666666667</x:v>
      </x:c>
      <x:c r="J465" s="2" t="s">
        <x:v>298</x:v>
      </x:c>
      <x:c r="K465" s="8">
        <x:v>0.95909</x:v>
      </x:c>
      <x:c r="L465" s="2" t="s">
        <x:v>299</x:v>
      </x:c>
      <x:c r="M465" s="2">
        <x:v>1</x:v>
      </x:c>
      <x:c r="N465" s="2" t="s">
        <x:v>79</x:v>
      </x:c>
      <x:c r="O465" s="5">
        <x:v>62.2</x:v>
      </x:c>
      <x:c r="P465" s="2">
        <x:v>494</x:v>
      </x:c>
      <x:c r="Q465" s="2" t="n">
        <x:f>IF(OR(J465="positive",J465="negative"),1,0)</x:f>
        <x:v>1</x:v>
      </x:c>
    </x:row>
    <x:row r="466" ht="15">
      <x:c r="A466" s="2" t="s">
        <x:v>46</x:v>
      </x:c>
      <x:c r="B466" s="2" t="s">
        <x:v>201</x:v>
      </x:c>
      <x:c r="C466" s="2">
        <x:v>2</x:v>
      </x:c>
      <x:c r="D466" s="2" t="s">
        <x:v>295</x:v>
      </x:c>
      <x:c r="E466" s="2" t="s">
        <x:v>296</x:v>
      </x:c>
      <x:c r="F466" s="7">
        <x:v>0.43129000000000001</x:v>
      </x:c>
      <x:c r="G466" s="2" t="s">
        <x:v>297</x:v>
      </x:c>
      <x:c r="H466" s="8">
        <x:v>3.5</x:v>
      </x:c>
      <x:c r="I466" s="9" t="n">
        <x:f t="shared" si="7">IFERROR(ABS(F466)/H466,"")</x:f>
        <x:v>0.12322571428571429</x:v>
      </x:c>
      <x:c r="J466" s="2" t="s">
        <x:v>298</x:v>
      </x:c>
      <x:c r="K466" s="8">
        <x:v>0.92122999999999999</x:v>
      </x:c>
      <x:c r="L466" s="2" t="s">
        <x:v>299</x:v>
      </x:c>
      <x:c r="M466" s="2">
        <x:v>1</x:v>
      </x:c>
      <x:c r="N466" s="2" t="s">
        <x:v>79</x:v>
      </x:c>
      <x:c r="O466" s="5">
        <x:v>56</x:v>
      </x:c>
      <x:c r="P466" s="2">
        <x:v>394</x:v>
      </x:c>
      <x:c r="Q466" s="2" t="n">
        <x:f>IF(OR(J466="positive",J466="negative"),1,0)</x:f>
        <x:v>1</x:v>
      </x:c>
    </x:row>
    <x:row r="467" ht="15">
      <x:c r="A467" s="2" t="s">
        <x:v>46</x:v>
      </x:c>
      <x:c r="B467" s="2" t="s">
        <x:v>201</x:v>
      </x:c>
      <x:c r="C467" s="2">
        <x:v>2</x:v>
      </x:c>
      <x:c r="D467" s="2" t="s">
        <x:v>300</x:v>
      </x:c>
      <x:c r="E467" s="2" t="s">
        <x:v>301</x:v>
      </x:c>
      <x:c r="F467" s="7">
        <x:v>8.2409999999999997E-2</x:v>
      </x:c>
      <x:c r="G467" s="2" t="s">
        <x:v>302</x:v>
      </x:c>
      <x:c r="H467" s="8">
        <x:v>0.45</x:v>
      </x:c>
      <x:c r="I467" s="9" t="n">
        <x:f t="shared" si="7">IFERROR(ABS(F467)/H467,"")</x:f>
        <x:v>0.18313333333333331</x:v>
      </x:c>
      <x:c r="J467" s="2" t="s">
        <x:v>298</x:v>
      </x:c>
      <x:c r="K467" s="8">
        <x:v>0.91041000000000005</x:v>
      </x:c>
      <x:c r="L467" s="2" t="s">
        <x:v>299</x:v>
      </x:c>
      <x:c r="M467" s="2">
        <x:v>1</x:v>
      </x:c>
      <x:c r="N467" s="2" t="s">
        <x:v>79</x:v>
      </x:c>
      <x:c r="O467" s="5">
        <x:v>56</x:v>
      </x:c>
      <x:c r="P467" s="2">
        <x:v>394</x:v>
      </x:c>
      <x:c r="Q467" s="2" t="n">
        <x:f>IF(OR(J467="positive",J467="negative"),1,0)</x:f>
        <x:v>1</x:v>
      </x:c>
    </x:row>
    <x:row r="468" ht="15">
      <x:c r="A468" s="2" t="s">
        <x:v>46</x:v>
      </x:c>
      <x:c r="B468" s="2" t="s">
        <x:v>201</x:v>
      </x:c>
      <x:c r="C468" s="2">
        <x:v>2</x:v>
      </x:c>
      <x:c r="D468" s="2" t="s">
        <x:v>18</x:v>
      </x:c>
      <x:c r="E468" s="2" t="s">
        <x:v>303</x:v>
      </x:c>
      <x:c r="F468" s="7">
        <x:v>3.4299999999999999E-3</x:v>
      </x:c>
      <x:c r="G468" s="2" t="s">
        <x:v>304</x:v>
      </x:c>
      <x:c r="H468" s="8">
        <x:v>7.4999999999999997E-2</x:v>
      </x:c>
      <x:c r="I468" s="9" t="n">
        <x:f t="shared" si="7">IFERROR(ABS(F468)/H468,"")</x:f>
        <x:v>0.045733333333333334</x:v>
      </x:c>
      <x:c r="J468" s="2" t="s">
        <x:v>298</x:v>
      </x:c>
      <x:c r="K468" s="8">
        <x:v>0.91088000000000002</x:v>
      </x:c>
      <x:c r="L468" s="2" t="s">
        <x:v>299</x:v>
      </x:c>
      <x:c r="M468" s="2">
        <x:v>1</x:v>
      </x:c>
      <x:c r="N468" s="2" t="s">
        <x:v>79</x:v>
      </x:c>
      <x:c r="O468" s="5">
        <x:v>56</x:v>
      </x:c>
      <x:c r="P468" s="2">
        <x:v>394</x:v>
      </x:c>
      <x:c r="Q468" s="2" t="n">
        <x:f>IF(OR(J468="positive",J468="negative"),1,0)</x:f>
        <x:v>1</x:v>
      </x:c>
    </x:row>
    <x:row r="469" ht="15">
      <x:c r="A469" s="2" t="s">
        <x:v>46</x:v>
      </x:c>
      <x:c r="B469" s="2" t="s">
        <x:v>201</x:v>
      </x:c>
      <x:c r="C469" s="2">
        <x:v>2</x:v>
      </x:c>
      <x:c r="D469" s="2" t="s">
        <x:v>305</x:v>
      </x:c>
      <x:c r="E469" s="2" t="s">
        <x:v>306</x:v>
      </x:c>
      <x:c r="F469" s="7">
        <x:v>-3.0089999999999999E-2</x:v>
      </x:c>
      <x:c r="G469" s="2" t="s">
        <x:v>304</x:v>
      </x:c>
      <x:c r="H469" s="8">
        <x:v>0.3</x:v>
      </x:c>
      <x:c r="I469" s="9" t="n">
        <x:f t="shared" si="7">IFERROR(ABS(F469)/H469,"")</x:f>
        <x:v>0.1003</x:v>
      </x:c>
      <x:c r="J469" s="2" t="s">
        <x:v>298</x:v>
      </x:c>
      <x:c r="K469" s="8">
        <x:v>0.94782999999999995</x:v>
      </x:c>
      <x:c r="L469" s="2" t="s">
        <x:v>299</x:v>
      </x:c>
      <x:c r="M469" s="2">
        <x:v>1</x:v>
      </x:c>
      <x:c r="N469" s="2" t="s">
        <x:v>79</x:v>
      </x:c>
      <x:c r="O469" s="5">
        <x:v>56</x:v>
      </x:c>
      <x:c r="P469" s="2">
        <x:v>394</x:v>
      </x:c>
      <x:c r="Q469" s="2" t="n">
        <x:f>IF(OR(J469="positive",J469="negative"),1,0)</x:f>
        <x:v>1</x:v>
      </x:c>
    </x:row>
    <x:row r="470" ht="15">
      <x:c r="A470" s="2" t="s">
        <x:v>46</x:v>
      </x:c>
      <x:c r="B470" s="2" t="s">
        <x:v>202</x:v>
      </x:c>
      <x:c r="C470" s="2">
        <x:v>3</x:v>
      </x:c>
      <x:c r="D470" s="2" t="s">
        <x:v>295</x:v>
      </x:c>
      <x:c r="E470" s="2" t="s">
        <x:v>296</x:v>
      </x:c>
      <x:c r="F470" s="7">
        <x:v>0.56150999999999995</x:v>
      </x:c>
      <x:c r="G470" s="2" t="s">
        <x:v>297</x:v>
      </x:c>
      <x:c r="H470" s="8">
        <x:v>3.5</x:v>
      </x:c>
      <x:c r="I470" s="9" t="n">
        <x:f t="shared" si="7">IFERROR(ABS(F470)/H470,"")</x:f>
        <x:v>0.16043142857142856</x:v>
      </x:c>
      <x:c r="J470" s="2" t="s">
        <x:v>298</x:v>
      </x:c>
      <x:c r="K470" s="8">
        <x:v>0.89925999999999995</x:v>
      </x:c>
      <x:c r="L470" s="2" t="s">
        <x:v>299</x:v>
      </x:c>
      <x:c r="M470" s="2">
        <x:v>1</x:v>
      </x:c>
      <x:c r="N470" s="2" t="s">
        <x:v>79</x:v>
      </x:c>
      <x:c r="O470" s="5">
        <x:v>62</x:v>
      </x:c>
      <x:c r="P470" s="2">
        <x:v>411</x:v>
      </x:c>
      <x:c r="Q470" s="2" t="n">
        <x:f>IF(OR(J470="positive",J470="negative"),1,0)</x:f>
        <x:v>1</x:v>
      </x:c>
    </x:row>
    <x:row r="471" ht="15">
      <x:c r="A471" s="2" t="s">
        <x:v>46</x:v>
      </x:c>
      <x:c r="B471" s="2" t="s">
        <x:v>202</x:v>
      </x:c>
      <x:c r="C471" s="2">
        <x:v>3</x:v>
      </x:c>
      <x:c r="D471" s="2" t="s">
        <x:v>300</x:v>
      </x:c>
      <x:c r="E471" s="2" t="s">
        <x:v>301</x:v>
      </x:c>
      <x:c r="F471" s="7">
        <x:v>9.3829999999999997E-2</x:v>
      </x:c>
      <x:c r="G471" s="2" t="s">
        <x:v>302</x:v>
      </x:c>
      <x:c r="H471" s="8">
        <x:v>0.45</x:v>
      </x:c>
      <x:c r="I471" s="9" t="n">
        <x:f t="shared" si="7">IFERROR(ABS(F471)/H471,"")</x:f>
        <x:v>0.2085111111111111</x:v>
      </x:c>
      <x:c r="J471" s="2" t="s">
        <x:v>298</x:v>
      </x:c>
      <x:c r="K471" s="8">
        <x:v>0.92569000000000001</x:v>
      </x:c>
      <x:c r="L471" s="2" t="s">
        <x:v>299</x:v>
      </x:c>
      <x:c r="M471" s="2">
        <x:v>1</x:v>
      </x:c>
      <x:c r="N471" s="2" t="s">
        <x:v>79</x:v>
      </x:c>
      <x:c r="O471" s="5">
        <x:v>62</x:v>
      </x:c>
      <x:c r="P471" s="2">
        <x:v>411</x:v>
      </x:c>
      <x:c r="Q471" s="2" t="n">
        <x:f>IF(OR(J471="positive",J471="negative"),1,0)</x:f>
        <x:v>1</x:v>
      </x:c>
    </x:row>
    <x:row r="472" ht="15">
      <x:c r="A472" s="2" t="s">
        <x:v>46</x:v>
      </x:c>
      <x:c r="B472" s="2" t="s">
        <x:v>202</x:v>
      </x:c>
      <x:c r="C472" s="2">
        <x:v>3</x:v>
      </x:c>
      <x:c r="D472" s="2" t="s">
        <x:v>18</x:v>
      </x:c>
      <x:c r="E472" s="2" t="s">
        <x:v>303</x:v>
      </x:c>
      <x:c r="F472" s="7">
        <x:v>2.0650000000000002E-2</x:v>
      </x:c>
      <x:c r="G472" s="2" t="s">
        <x:v>304</x:v>
      </x:c>
      <x:c r="H472" s="8">
        <x:v>7.4999999999999997E-2</x:v>
      </x:c>
      <x:c r="I472" s="9" t="n">
        <x:f t="shared" si="7">IFERROR(ABS(F472)/H472,"")</x:f>
        <x:v>0.2753333333333334</x:v>
      </x:c>
      <x:c r="J472" s="2" t="s">
        <x:v>298</x:v>
      </x:c>
      <x:c r="K472" s="8">
        <x:v>0.95204</x:v>
      </x:c>
      <x:c r="L472" s="2" t="s">
        <x:v>299</x:v>
      </x:c>
      <x:c r="M472" s="2">
        <x:v>1</x:v>
      </x:c>
      <x:c r="N472" s="2" t="s">
        <x:v>79</x:v>
      </x:c>
      <x:c r="O472" s="5">
        <x:v>62</x:v>
      </x:c>
      <x:c r="P472" s="2">
        <x:v>411</x:v>
      </x:c>
      <x:c r="Q472" s="2" t="n">
        <x:f>IF(OR(J472="positive",J472="negative"),1,0)</x:f>
        <x:v>1</x:v>
      </x:c>
    </x:row>
    <x:row r="473" ht="15">
      <x:c r="A473" s="2" t="s">
        <x:v>46</x:v>
      </x:c>
      <x:c r="B473" s="2" t="s">
        <x:v>202</x:v>
      </x:c>
      <x:c r="C473" s="2">
        <x:v>3</x:v>
      </x:c>
      <x:c r="D473" s="2" t="s">
        <x:v>305</x:v>
      </x:c>
      <x:c r="E473" s="2" t="s">
        <x:v>306</x:v>
      </x:c>
      <x:c r="F473" s="7">
        <x:v>-3.3259999999999998E-2</x:v>
      </x:c>
      <x:c r="G473" s="2" t="s">
        <x:v>304</x:v>
      </x:c>
      <x:c r="H473" s="8">
        <x:v>0.3</x:v>
      </x:c>
      <x:c r="I473" s="9" t="n">
        <x:f t="shared" si="7">IFERROR(ABS(F473)/H473,"")</x:f>
        <x:v>0.11086666666666667</x:v>
      </x:c>
      <x:c r="J473" s="2" t="s">
        <x:v>298</x:v>
      </x:c>
      <x:c r="K473" s="8">
        <x:v>0.89376999999999995</x:v>
      </x:c>
      <x:c r="L473" s="2" t="s">
        <x:v>299</x:v>
      </x:c>
      <x:c r="M473" s="2">
        <x:v>1</x:v>
      </x:c>
      <x:c r="N473" s="2" t="s">
        <x:v>79</x:v>
      </x:c>
      <x:c r="O473" s="5">
        <x:v>62</x:v>
      </x:c>
      <x:c r="P473" s="2">
        <x:v>411</x:v>
      </x:c>
      <x:c r="Q473" s="2" t="n">
        <x:f>IF(OR(J473="positive",J473="negative"),1,0)</x:f>
        <x:v>1</x:v>
      </x:c>
    </x:row>
    <x:row r="474" ht="15">
      <x:c r="A474" s="2" t="s">
        <x:v>46</x:v>
      </x:c>
      <x:c r="B474" s="2" t="s">
        <x:v>203</x:v>
      </x:c>
      <x:c r="C474" s="2">
        <x:v>4</x:v>
      </x:c>
      <x:c r="D474" s="2" t="s">
        <x:v>295</x:v>
      </x:c>
      <x:c r="E474" s="2" t="s">
        <x:v>296</x:v>
      </x:c>
      <x:c r="F474" s="7">
        <x:v>0.27717000000000003</x:v>
      </x:c>
      <x:c r="G474" s="2" t="s">
        <x:v>297</x:v>
      </x:c>
      <x:c r="H474" s="8">
        <x:v>3.5</x:v>
      </x:c>
      <x:c r="I474" s="9" t="n">
        <x:f t="shared" si="7">IFERROR(ABS(F474)/H474,"")</x:f>
        <x:v>0.07919142857142858</x:v>
      </x:c>
      <x:c r="J474" s="2" t="s">
        <x:v>298</x:v>
      </x:c>
      <x:c r="K474" s="8">
        <x:v>0.92371999999999999</x:v>
      </x:c>
      <x:c r="L474" s="2" t="s">
        <x:v>299</x:v>
      </x:c>
      <x:c r="M474" s="2">
        <x:v>1</x:v>
      </x:c>
      <x:c r="N474" s="2" t="s">
        <x:v>79</x:v>
      </x:c>
      <x:c r="O474" s="5">
        <x:v>62.1</x:v>
      </x:c>
      <x:c r="P474" s="2">
        <x:v>438</x:v>
      </x:c>
      <x:c r="Q474" s="2" t="n">
        <x:f>IF(OR(J474="positive",J474="negative"),1,0)</x:f>
        <x:v>1</x:v>
      </x:c>
    </x:row>
    <x:row r="475" ht="15">
      <x:c r="A475" s="2" t="s">
        <x:v>46</x:v>
      </x:c>
      <x:c r="B475" s="2" t="s">
        <x:v>203</x:v>
      </x:c>
      <x:c r="C475" s="2">
        <x:v>4</x:v>
      </x:c>
      <x:c r="D475" s="2" t="s">
        <x:v>300</x:v>
      </x:c>
      <x:c r="E475" s="2" t="s">
        <x:v>301</x:v>
      </x:c>
      <x:c r="F475" s="7">
        <x:v>7.9409999999999994E-2</x:v>
      </x:c>
      <x:c r="G475" s="2" t="s">
        <x:v>302</x:v>
      </x:c>
      <x:c r="H475" s="8">
        <x:v>0.45</x:v>
      </x:c>
      <x:c r="I475" s="9" t="n">
        <x:f t="shared" si="7">IFERROR(ABS(F475)/H475,"")</x:f>
        <x:v>0.17646666666666666</x:v>
      </x:c>
      <x:c r="J475" s="2" t="s">
        <x:v>298</x:v>
      </x:c>
      <x:c r="K475" s="8">
        <x:v>0.93057999999999996</x:v>
      </x:c>
      <x:c r="L475" s="2" t="s">
        <x:v>299</x:v>
      </x:c>
      <x:c r="M475" s="2">
        <x:v>1</x:v>
      </x:c>
      <x:c r="N475" s="2" t="s">
        <x:v>79</x:v>
      </x:c>
      <x:c r="O475" s="5">
        <x:v>62.1</x:v>
      </x:c>
      <x:c r="P475" s="2">
        <x:v>438</x:v>
      </x:c>
      <x:c r="Q475" s="2" t="n">
        <x:f>IF(OR(J475="positive",J475="negative"),1,0)</x:f>
        <x:v>1</x:v>
      </x:c>
    </x:row>
    <x:row r="476" ht="15">
      <x:c r="A476" s="2" t="s">
        <x:v>46</x:v>
      </x:c>
      <x:c r="B476" s="2" t="s">
        <x:v>203</x:v>
      </x:c>
      <x:c r="C476" s="2">
        <x:v>4</x:v>
      </x:c>
      <x:c r="D476" s="2" t="s">
        <x:v>18</x:v>
      </x:c>
      <x:c r="E476" s="2" t="s">
        <x:v>303</x:v>
      </x:c>
      <x:c r="F476" s="7">
        <x:v>1.5689999999999999E-2</x:v>
      </x:c>
      <x:c r="G476" s="2" t="s">
        <x:v>304</x:v>
      </x:c>
      <x:c r="H476" s="8">
        <x:v>7.4999999999999997E-2</x:v>
      </x:c>
      <x:c r="I476" s="9" t="n">
        <x:f t="shared" si="7">IFERROR(ABS(F476)/H476,"")</x:f>
        <x:v>0.2092</x:v>
      </x:c>
      <x:c r="J476" s="2" t="s">
        <x:v>298</x:v>
      </x:c>
      <x:c r="K476" s="8">
        <x:v>0.95777000000000001</x:v>
      </x:c>
      <x:c r="L476" s="2" t="s">
        <x:v>299</x:v>
      </x:c>
      <x:c r="M476" s="2">
        <x:v>1</x:v>
      </x:c>
      <x:c r="N476" s="2" t="s">
        <x:v>79</x:v>
      </x:c>
      <x:c r="O476" s="5">
        <x:v>62.1</x:v>
      </x:c>
      <x:c r="P476" s="2">
        <x:v>438</x:v>
      </x:c>
      <x:c r="Q476" s="2" t="n">
        <x:f>IF(OR(J476="positive",J476="negative"),1,0)</x:f>
        <x:v>1</x:v>
      </x:c>
    </x:row>
    <x:row r="477" ht="15">
      <x:c r="A477" s="2" t="s">
        <x:v>46</x:v>
      </x:c>
      <x:c r="B477" s="2" t="s">
        <x:v>203</x:v>
      </x:c>
      <x:c r="C477" s="2">
        <x:v>4</x:v>
      </x:c>
      <x:c r="D477" s="2" t="s">
        <x:v>305</x:v>
      </x:c>
      <x:c r="E477" s="2" t="s">
        <x:v>306</x:v>
      </x:c>
      <x:c r="F477" s="7">
        <x:v>6.6699999999999997E-3</x:v>
      </x:c>
      <x:c r="G477" s="2" t="s">
        <x:v>304</x:v>
      </x:c>
      <x:c r="H477" s="8">
        <x:v>0.3</x:v>
      </x:c>
      <x:c r="I477" s="9" t="n">
        <x:f t="shared" si="7">IFERROR(ABS(F477)/H477,"")</x:f>
        <x:v>0.022233333333333334</x:v>
      </x:c>
      <x:c r="J477" s="2" t="s">
        <x:v>298</x:v>
      </x:c>
      <x:c r="K477" s="8">
        <x:v>0.91630999999999996</x:v>
      </x:c>
      <x:c r="L477" s="2" t="s">
        <x:v>299</x:v>
      </x:c>
      <x:c r="M477" s="2">
        <x:v>1</x:v>
      </x:c>
      <x:c r="N477" s="2" t="s">
        <x:v>79</x:v>
      </x:c>
      <x:c r="O477" s="5">
        <x:v>62.1</x:v>
      </x:c>
      <x:c r="P477" s="2">
        <x:v>438</x:v>
      </x:c>
      <x:c r="Q477" s="2" t="n">
        <x:f>IF(OR(J477="positive",J477="negative"),1,0)</x:f>
        <x:v>1</x:v>
      </x:c>
    </x:row>
    <x:row r="478" ht="15">
      <x:c r="A478" s="2" t="s">
        <x:v>46</x:v>
      </x:c>
      <x:c r="B478" s="2" t="s">
        <x:v>204</x:v>
      </x:c>
      <x:c r="C478" s="2">
        <x:v>5</x:v>
      </x:c>
      <x:c r="D478" s="2" t="s">
        <x:v>295</x:v>
      </x:c>
      <x:c r="E478" s="2" t="s">
        <x:v>296</x:v>
      </x:c>
      <x:c r="F478" s="7">
        <x:v>0.60489999999999999</x:v>
      </x:c>
      <x:c r="G478" s="2" t="s">
        <x:v>297</x:v>
      </x:c>
      <x:c r="H478" s="8">
        <x:v>3.5</x:v>
      </x:c>
      <x:c r="I478" s="9" t="n">
        <x:f t="shared" si="7">IFERROR(ABS(F478)/H478,"")</x:f>
        <x:v>0.17282857142857141</x:v>
      </x:c>
      <x:c r="J478" s="2" t="s">
        <x:v>298</x:v>
      </x:c>
      <x:c r="K478" s="8">
        <x:v>0.94669999999999999</x:v>
      </x:c>
      <x:c r="L478" s="2" t="s">
        <x:v>299</x:v>
      </x:c>
      <x:c r="M478" s="2">
        <x:v>1</x:v>
      </x:c>
      <x:c r="N478" s="2" t="s">
        <x:v>79</x:v>
      </x:c>
      <x:c r="O478" s="5">
        <x:v>55.4</x:v>
      </x:c>
      <x:c r="P478" s="2">
        <x:v>531</x:v>
      </x:c>
      <x:c r="Q478" s="2" t="n">
        <x:f>IF(OR(J478="positive",J478="negative"),1,0)</x:f>
        <x:v>1</x:v>
      </x:c>
    </x:row>
    <x:row r="479" ht="15">
      <x:c r="A479" s="2" t="s">
        <x:v>46</x:v>
      </x:c>
      <x:c r="B479" s="2" t="s">
        <x:v>204</x:v>
      </x:c>
      <x:c r="C479" s="2">
        <x:v>5</x:v>
      </x:c>
      <x:c r="D479" s="2" t="s">
        <x:v>300</x:v>
      </x:c>
      <x:c r="E479" s="2" t="s">
        <x:v>301</x:v>
      </x:c>
      <x:c r="F479" s="7">
        <x:v>5.0540000000000002E-2</x:v>
      </x:c>
      <x:c r="G479" s="2" t="s">
        <x:v>302</x:v>
      </x:c>
      <x:c r="H479" s="8">
        <x:v>0.45</x:v>
      </x:c>
      <x:c r="I479" s="9" t="n">
        <x:f t="shared" si="7">IFERROR(ABS(F479)/H479,"")</x:f>
        <x:v>0.11231111111111111</x:v>
      </x:c>
      <x:c r="J479" s="2" t="s">
        <x:v>298</x:v>
      </x:c>
      <x:c r="K479" s="8">
        <x:v>0.92166999999999999</x:v>
      </x:c>
      <x:c r="L479" s="2" t="s">
        <x:v>299</x:v>
      </x:c>
      <x:c r="M479" s="2">
        <x:v>1</x:v>
      </x:c>
      <x:c r="N479" s="2" t="s">
        <x:v>79</x:v>
      </x:c>
      <x:c r="O479" s="5">
        <x:v>55.4</x:v>
      </x:c>
      <x:c r="P479" s="2">
        <x:v>531</x:v>
      </x:c>
      <x:c r="Q479" s="2" t="n">
        <x:f>IF(OR(J479="positive",J479="negative"),1,0)</x:f>
        <x:v>1</x:v>
      </x:c>
    </x:row>
    <x:row r="480" ht="15">
      <x:c r="A480" s="2" t="s">
        <x:v>46</x:v>
      </x:c>
      <x:c r="B480" s="2" t="s">
        <x:v>204</x:v>
      </x:c>
      <x:c r="C480" s="2">
        <x:v>5</x:v>
      </x:c>
      <x:c r="D480" s="2" t="s">
        <x:v>18</x:v>
      </x:c>
      <x:c r="E480" s="2" t="s">
        <x:v>303</x:v>
      </x:c>
      <x:c r="F480" s="7">
        <x:v>2.14E-3</x:v>
      </x:c>
      <x:c r="G480" s="2" t="s">
        <x:v>304</x:v>
      </x:c>
      <x:c r="H480" s="8">
        <x:v>7.4999999999999997E-2</x:v>
      </x:c>
      <x:c r="I480" s="9" t="n">
        <x:f t="shared" si="7">IFERROR(ABS(F480)/H480,"")</x:f>
        <x:v>0.028533333333333334</x:v>
      </x:c>
      <x:c r="J480" s="2" t="s">
        <x:v>307</x:v>
      </x:c>
      <x:c r="K480" s="8">
        <x:v>0.45795999999999998</x:v>
      </x:c>
      <x:c r="L480" s="2" t="s">
        <x:v>308</x:v>
      </x:c>
      <x:c r="M480" s="2">
        <x:v>1</x:v>
      </x:c>
      <x:c r="N480" s="2" t="s">
        <x:v>79</x:v>
      </x:c>
      <x:c r="O480" s="5">
        <x:v>55.4</x:v>
      </x:c>
      <x:c r="P480" s="2">
        <x:v>531</x:v>
      </x:c>
      <x:c r="Q480" s="2" t="n">
        <x:f>IF(OR(J480="positive",J480="negative"),1,0)</x:f>
        <x:v>0</x:v>
      </x:c>
    </x:row>
    <x:row r="481" ht="15">
      <x:c r="A481" s="2" t="s">
        <x:v>46</x:v>
      </x:c>
      <x:c r="B481" s="2" t="s">
        <x:v>204</x:v>
      </x:c>
      <x:c r="C481" s="2">
        <x:v>5</x:v>
      </x:c>
      <x:c r="D481" s="2" t="s">
        <x:v>305</x:v>
      </x:c>
      <x:c r="E481" s="2" t="s">
        <x:v>306</x:v>
      </x:c>
      <x:c r="F481" s="7">
        <x:v>-1.349E-2</x:v>
      </x:c>
      <x:c r="G481" s="2" t="s">
        <x:v>304</x:v>
      </x:c>
      <x:c r="H481" s="8">
        <x:v>0.3</x:v>
      </x:c>
      <x:c r="I481" s="9" t="n">
        <x:f t="shared" si="7">IFERROR(ABS(F481)/H481,"")</x:f>
        <x:v>0.04496666666666667</x:v>
      </x:c>
      <x:c r="J481" s="2" t="s">
        <x:v>298</x:v>
      </x:c>
      <x:c r="K481" s="8">
        <x:v>0.91886999999999996</x:v>
      </x:c>
      <x:c r="L481" s="2" t="s">
        <x:v>299</x:v>
      </x:c>
      <x:c r="M481" s="2">
        <x:v>1</x:v>
      </x:c>
      <x:c r="N481" s="2" t="s">
        <x:v>79</x:v>
      </x:c>
      <x:c r="O481" s="5">
        <x:v>55.4</x:v>
      </x:c>
      <x:c r="P481" s="2">
        <x:v>531</x:v>
      </x:c>
      <x:c r="Q481" s="2" t="n">
        <x:f>IF(OR(J481="positive",J481="negative"),1,0)</x:f>
        <x:v>1</x:v>
      </x:c>
    </x:row>
    <x:row r="482" ht="15">
      <x:c r="A482" s="2" t="s">
        <x:v>47</x:v>
      </x:c>
      <x:c r="B482" s="2" t="s">
        <x:v>205</x:v>
      </x:c>
      <x:c r="C482" s="2">
        <x:v>1</x:v>
      </x:c>
      <x:c r="D482" s="2" t="s">
        <x:v>295</x:v>
      </x:c>
      <x:c r="E482" s="2" t="s">
        <x:v>296</x:v>
      </x:c>
      <x:c r="F482" s="7">
        <x:v>0.34749999999999998</x:v>
      </x:c>
      <x:c r="G482" s="2" t="s">
        <x:v>297</x:v>
      </x:c>
      <x:c r="H482" s="8">
        <x:v>3.5</x:v>
      </x:c>
      <x:c r="I482" s="9" t="n">
        <x:f t="shared" si="7">IFERROR(ABS(F482)/H482,"")</x:f>
        <x:v>0.09928571428571428</x:v>
      </x:c>
      <x:c r="J482" s="2" t="s">
        <x:v>298</x:v>
      </x:c>
      <x:c r="K482" s="8">
        <x:v>0.93503999999999998</x:v>
      </x:c>
      <x:c r="L482" s="2" t="s">
        <x:v>299</x:v>
      </x:c>
      <x:c r="M482" s="2">
        <x:v>1</x:v>
      </x:c>
      <x:c r="N482" s="2" t="s">
        <x:v>79</x:v>
      </x:c>
      <x:c r="O482" s="5">
        <x:v>59.8</x:v>
      </x:c>
      <x:c r="P482" s="2">
        <x:v>464</x:v>
      </x:c>
      <x:c r="Q482" s="2" t="n">
        <x:f>IF(OR(J482="positive",J482="negative"),1,0)</x:f>
        <x:v>1</x:v>
      </x:c>
    </x:row>
    <x:row r="483" ht="15">
      <x:c r="A483" s="2" t="s">
        <x:v>47</x:v>
      </x:c>
      <x:c r="B483" s="2" t="s">
        <x:v>205</x:v>
      </x:c>
      <x:c r="C483" s="2">
        <x:v>1</x:v>
      </x:c>
      <x:c r="D483" s="2" t="s">
        <x:v>300</x:v>
      </x:c>
      <x:c r="E483" s="2" t="s">
        <x:v>301</x:v>
      </x:c>
      <x:c r="F483" s="7">
        <x:v>0.11913</x:v>
      </x:c>
      <x:c r="G483" s="2" t="s">
        <x:v>302</x:v>
      </x:c>
      <x:c r="H483" s="8">
        <x:v>0.45</x:v>
      </x:c>
      <x:c r="I483" s="9" t="n">
        <x:f t="shared" si="7">IFERROR(ABS(F483)/H483,"")</x:f>
        <x:v>0.2647333333333333</x:v>
      </x:c>
      <x:c r="J483" s="2" t="s">
        <x:v>298</x:v>
      </x:c>
      <x:c r="K483" s="8">
        <x:v>0.95301000000000002</x:v>
      </x:c>
      <x:c r="L483" s="2" t="s">
        <x:v>299</x:v>
      </x:c>
      <x:c r="M483" s="2">
        <x:v>1</x:v>
      </x:c>
      <x:c r="N483" s="2" t="s">
        <x:v>79</x:v>
      </x:c>
      <x:c r="O483" s="5">
        <x:v>59.8</x:v>
      </x:c>
      <x:c r="P483" s="2">
        <x:v>464</x:v>
      </x:c>
      <x:c r="Q483" s="2" t="n">
        <x:f>IF(OR(J483="positive",J483="negative"),1,0)</x:f>
        <x:v>1</x:v>
      </x:c>
    </x:row>
    <x:row r="484" ht="15">
      <x:c r="A484" s="2" t="s">
        <x:v>47</x:v>
      </x:c>
      <x:c r="B484" s="2" t="s">
        <x:v>205</x:v>
      </x:c>
      <x:c r="C484" s="2">
        <x:v>1</x:v>
      </x:c>
      <x:c r="D484" s="2" t="s">
        <x:v>18</x:v>
      </x:c>
      <x:c r="E484" s="2" t="s">
        <x:v>303</x:v>
      </x:c>
      <x:c r="F484" s="7">
        <x:v>-1.1199999999999999E-3</x:v>
      </x:c>
      <x:c r="G484" s="2" t="s">
        <x:v>304</x:v>
      </x:c>
      <x:c r="H484" s="8">
        <x:v>7.4999999999999997E-2</x:v>
      </x:c>
      <x:c r="I484" s="9" t="n">
        <x:f t="shared" si="7">IFERROR(ABS(F484)/H484,"")</x:f>
        <x:v>0.014933333333333333</x:v>
      </x:c>
      <x:c r="J484" s="2" t="s">
        <x:v>298</x:v>
      </x:c>
      <x:c r="K484" s="8">
        <x:v>0.91586000000000001</x:v>
      </x:c>
      <x:c r="L484" s="2" t="s">
        <x:v>299</x:v>
      </x:c>
      <x:c r="M484" s="2">
        <x:v>1</x:v>
      </x:c>
      <x:c r="N484" s="2" t="s">
        <x:v>79</x:v>
      </x:c>
      <x:c r="O484" s="5">
        <x:v>59.8</x:v>
      </x:c>
      <x:c r="P484" s="2">
        <x:v>464</x:v>
      </x:c>
      <x:c r="Q484" s="2" t="n">
        <x:f>IF(OR(J484="positive",J484="negative"),1,0)</x:f>
        <x:v>1</x:v>
      </x:c>
    </x:row>
    <x:row r="485" ht="15">
      <x:c r="A485" s="2" t="s">
        <x:v>47</x:v>
      </x:c>
      <x:c r="B485" s="2" t="s">
        <x:v>205</x:v>
      </x:c>
      <x:c r="C485" s="2">
        <x:v>1</x:v>
      </x:c>
      <x:c r="D485" s="2" t="s">
        <x:v>305</x:v>
      </x:c>
      <x:c r="E485" s="2" t="s">
        <x:v>306</x:v>
      </x:c>
      <x:c r="F485" s="7">
        <x:v>1.9820000000000001E-2</x:v>
      </x:c>
      <x:c r="G485" s="2" t="s">
        <x:v>304</x:v>
      </x:c>
      <x:c r="H485" s="8">
        <x:v>0.3</x:v>
      </x:c>
      <x:c r="I485" s="9" t="n">
        <x:f t="shared" si="7">IFERROR(ABS(F485)/H485,"")</x:f>
        <x:v>0.06606666666666668</x:v>
      </x:c>
      <x:c r="J485" s="2" t="s">
        <x:v>298</x:v>
      </x:c>
      <x:c r="K485" s="8">
        <x:v>0.95950000000000002</x:v>
      </x:c>
      <x:c r="L485" s="2" t="s">
        <x:v>299</x:v>
      </x:c>
      <x:c r="M485" s="2">
        <x:v>1</x:v>
      </x:c>
      <x:c r="N485" s="2" t="s">
        <x:v>79</x:v>
      </x:c>
      <x:c r="O485" s="5">
        <x:v>59.8</x:v>
      </x:c>
      <x:c r="P485" s="2">
        <x:v>464</x:v>
      </x:c>
      <x:c r="Q485" s="2" t="n">
        <x:f>IF(OR(J485="positive",J485="negative"),1,0)</x:f>
        <x:v>1</x:v>
      </x:c>
    </x:row>
    <x:row r="486" ht="15">
      <x:c r="A486" s="2" t="s">
        <x:v>47</x:v>
      </x:c>
      <x:c r="B486" s="2" t="s">
        <x:v>206</x:v>
      </x:c>
      <x:c r="C486" s="2">
        <x:v>2</x:v>
      </x:c>
      <x:c r="D486" s="2" t="s">
        <x:v>295</x:v>
      </x:c>
      <x:c r="E486" s="2" t="s">
        <x:v>296</x:v>
      </x:c>
      <x:c r="F486" s="7">
        <x:v>0.27561000000000002</x:v>
      </x:c>
      <x:c r="G486" s="2" t="s">
        <x:v>297</x:v>
      </x:c>
      <x:c r="H486" s="8">
        <x:v>3.5</x:v>
      </x:c>
      <x:c r="I486" s="9" t="n">
        <x:f t="shared" si="7">IFERROR(ABS(F486)/H486,"")</x:f>
        <x:v>0.0787457142857143</x:v>
      </x:c>
      <x:c r="J486" s="2" t="s">
        <x:v>298</x:v>
      </x:c>
      <x:c r="K486" s="8">
        <x:v>0.94298999999999999</x:v>
      </x:c>
      <x:c r="L486" s="2" t="s">
        <x:v>299</x:v>
      </x:c>
      <x:c r="M486" s="2">
        <x:v>1</x:v>
      </x:c>
      <x:c r="N486" s="2" t="s">
        <x:v>79</x:v>
      </x:c>
      <x:c r="O486" s="5">
        <x:v>54.9</x:v>
      </x:c>
      <x:c r="P486" s="2">
        <x:v>470</x:v>
      </x:c>
      <x:c r="Q486" s="2" t="n">
        <x:f>IF(OR(J486="positive",J486="negative"),1,0)</x:f>
        <x:v>1</x:v>
      </x:c>
    </x:row>
    <x:row r="487" ht="15">
      <x:c r="A487" s="2" t="s">
        <x:v>47</x:v>
      </x:c>
      <x:c r="B487" s="2" t="s">
        <x:v>206</x:v>
      </x:c>
      <x:c r="C487" s="2">
        <x:v>2</x:v>
      </x:c>
      <x:c r="D487" s="2" t="s">
        <x:v>300</x:v>
      </x:c>
      <x:c r="E487" s="2" t="s">
        <x:v>301</x:v>
      </x:c>
      <x:c r="F487" s="7">
        <x:v>0.10475</x:v>
      </x:c>
      <x:c r="G487" s="2" t="s">
        <x:v>302</x:v>
      </x:c>
      <x:c r="H487" s="8">
        <x:v>0.45</x:v>
      </x:c>
      <x:c r="I487" s="9" t="n">
        <x:f t="shared" si="7">IFERROR(ABS(F487)/H487,"")</x:f>
        <x:v>0.23277777777777775</x:v>
      </x:c>
      <x:c r="J487" s="2" t="s">
        <x:v>298</x:v>
      </x:c>
      <x:c r="K487" s="8">
        <x:v>0.94093000000000004</x:v>
      </x:c>
      <x:c r="L487" s="2" t="s">
        <x:v>299</x:v>
      </x:c>
      <x:c r="M487" s="2">
        <x:v>1</x:v>
      </x:c>
      <x:c r="N487" s="2" t="s">
        <x:v>79</x:v>
      </x:c>
      <x:c r="O487" s="5">
        <x:v>54.9</x:v>
      </x:c>
      <x:c r="P487" s="2">
        <x:v>470</x:v>
      </x:c>
      <x:c r="Q487" s="2" t="n">
        <x:f>IF(OR(J487="positive",J487="negative"),1,0)</x:f>
        <x:v>1</x:v>
      </x:c>
    </x:row>
    <x:row r="488" ht="15">
      <x:c r="A488" s="2" t="s">
        <x:v>47</x:v>
      </x:c>
      <x:c r="B488" s="2" t="s">
        <x:v>206</x:v>
      </x:c>
      <x:c r="C488" s="2">
        <x:v>2</x:v>
      </x:c>
      <x:c r="D488" s="2" t="s">
        <x:v>18</x:v>
      </x:c>
      <x:c r="E488" s="2" t="s">
        <x:v>303</x:v>
      </x:c>
      <x:c r="F488" s="7">
        <x:v>5.2500000000000003E-3</x:v>
      </x:c>
      <x:c r="G488" s="2" t="s">
        <x:v>304</x:v>
      </x:c>
      <x:c r="H488" s="8">
        <x:v>7.4999999999999997E-2</x:v>
      </x:c>
      <x:c r="I488" s="9" t="n">
        <x:f t="shared" si="7">IFERROR(ABS(F488)/H488,"")</x:f>
        <x:v>0.07</x:v>
      </x:c>
      <x:c r="J488" s="2" t="s">
        <x:v>298</x:v>
      </x:c>
      <x:c r="K488" s="8">
        <x:v>0.94955999999999996</x:v>
      </x:c>
      <x:c r="L488" s="2" t="s">
        <x:v>299</x:v>
      </x:c>
      <x:c r="M488" s="2">
        <x:v>1</x:v>
      </x:c>
      <x:c r="N488" s="2" t="s">
        <x:v>79</x:v>
      </x:c>
      <x:c r="O488" s="5">
        <x:v>54.9</x:v>
      </x:c>
      <x:c r="P488" s="2">
        <x:v>470</x:v>
      </x:c>
      <x:c r="Q488" s="2" t="n">
        <x:f>IF(OR(J488="positive",J488="negative"),1,0)</x:f>
        <x:v>1</x:v>
      </x:c>
    </x:row>
    <x:row r="489" ht="15">
      <x:c r="A489" s="2" t="s">
        <x:v>47</x:v>
      </x:c>
      <x:c r="B489" s="2" t="s">
        <x:v>206</x:v>
      </x:c>
      <x:c r="C489" s="2">
        <x:v>2</x:v>
      </x:c>
      <x:c r="D489" s="2" t="s">
        <x:v>305</x:v>
      </x:c>
      <x:c r="E489" s="2" t="s">
        <x:v>306</x:v>
      </x:c>
      <x:c r="F489" s="7">
        <x:v>1.2359999999999999E-2</x:v>
      </x:c>
      <x:c r="G489" s="2" t="s">
        <x:v>304</x:v>
      </x:c>
      <x:c r="H489" s="8">
        <x:v>0.3</x:v>
      </x:c>
      <x:c r="I489" s="9" t="n">
        <x:f t="shared" si="7">IFERROR(ABS(F489)/H489,"")</x:f>
        <x:v>0.0412</x:v>
      </x:c>
      <x:c r="J489" s="2" t="s">
        <x:v>298</x:v>
      </x:c>
      <x:c r="K489" s="8">
        <x:v>0.95391999999999999</x:v>
      </x:c>
      <x:c r="L489" s="2" t="s">
        <x:v>299</x:v>
      </x:c>
      <x:c r="M489" s="2">
        <x:v>1</x:v>
      </x:c>
      <x:c r="N489" s="2" t="s">
        <x:v>79</x:v>
      </x:c>
      <x:c r="O489" s="5">
        <x:v>54.9</x:v>
      </x:c>
      <x:c r="P489" s="2">
        <x:v>470</x:v>
      </x:c>
      <x:c r="Q489" s="2" t="n">
        <x:f>IF(OR(J489="positive",J489="negative"),1,0)</x:f>
        <x:v>1</x:v>
      </x:c>
    </x:row>
    <x:row r="490" ht="15">
      <x:c r="A490" s="2" t="s">
        <x:v>47</x:v>
      </x:c>
      <x:c r="B490" s="2" t="s">
        <x:v>207</x:v>
      </x:c>
      <x:c r="C490" s="2">
        <x:v>3</x:v>
      </x:c>
      <x:c r="D490" s="2" t="s">
        <x:v>295</x:v>
      </x:c>
      <x:c r="E490" s="2" t="s">
        <x:v>296</x:v>
      </x:c>
      <x:c r="F490" s="7">
        <x:v>0.15010000000000001</x:v>
      </x:c>
      <x:c r="G490" s="2" t="s">
        <x:v>297</x:v>
      </x:c>
      <x:c r="H490" s="8">
        <x:v>3.5</x:v>
      </x:c>
      <x:c r="I490" s="9" t="n">
        <x:f t="shared" si="7">IFERROR(ABS(F490)/H490,"")</x:f>
        <x:v>0.04288571428571429</x:v>
      </x:c>
      <x:c r="J490" s="2" t="s">
        <x:v>298</x:v>
      </x:c>
      <x:c r="K490" s="8">
        <x:v>0.99</x:v>
      </x:c>
      <x:c r="L490" s="2" t="s">
        <x:v>299</x:v>
      </x:c>
      <x:c r="M490" s="2">
        <x:v>1</x:v>
      </x:c>
      <x:c r="N490" s="2" t="s">
        <x:v>79</x:v>
      </x:c>
      <x:c r="O490" s="5">
        <x:v>64.2</x:v>
      </x:c>
      <x:c r="P490" s="2">
        <x:v>517</x:v>
      </x:c>
      <x:c r="Q490" s="2" t="n">
        <x:f>IF(OR(J490="positive",J490="negative"),1,0)</x:f>
        <x:v>1</x:v>
      </x:c>
    </x:row>
    <x:row r="491" ht="15">
      <x:c r="A491" s="2" t="s">
        <x:v>47</x:v>
      </x:c>
      <x:c r="B491" s="2" t="s">
        <x:v>207</x:v>
      </x:c>
      <x:c r="C491" s="2">
        <x:v>3</x:v>
      </x:c>
      <x:c r="D491" s="2" t="s">
        <x:v>300</x:v>
      </x:c>
      <x:c r="E491" s="2" t="s">
        <x:v>301</x:v>
      </x:c>
      <x:c r="F491" s="7">
        <x:v>0.13388</x:v>
      </x:c>
      <x:c r="G491" s="2" t="s">
        <x:v>302</x:v>
      </x:c>
      <x:c r="H491" s="8">
        <x:v>0.45</x:v>
      </x:c>
      <x:c r="I491" s="9" t="n">
        <x:f t="shared" si="7">IFERROR(ABS(F491)/H491,"")</x:f>
        <x:v>0.2975111111111111</x:v>
      </x:c>
      <x:c r="J491" s="2" t="s">
        <x:v>298</x:v>
      </x:c>
      <x:c r="K491" s="8">
        <x:v>0.91878000000000004</x:v>
      </x:c>
      <x:c r="L491" s="2" t="s">
        <x:v>299</x:v>
      </x:c>
      <x:c r="M491" s="2">
        <x:v>1</x:v>
      </x:c>
      <x:c r="N491" s="2" t="s">
        <x:v>79</x:v>
      </x:c>
      <x:c r="O491" s="5">
        <x:v>64.2</x:v>
      </x:c>
      <x:c r="P491" s="2">
        <x:v>517</x:v>
      </x:c>
      <x:c r="Q491" s="2" t="n">
        <x:f>IF(OR(J491="positive",J491="negative"),1,0)</x:f>
        <x:v>1</x:v>
      </x:c>
    </x:row>
    <x:row r="492" ht="15">
      <x:c r="A492" s="2" t="s">
        <x:v>47</x:v>
      </x:c>
      <x:c r="B492" s="2" t="s">
        <x:v>207</x:v>
      </x:c>
      <x:c r="C492" s="2">
        <x:v>3</x:v>
      </x:c>
      <x:c r="D492" s="2" t="s">
        <x:v>18</x:v>
      </x:c>
      <x:c r="E492" s="2" t="s">
        <x:v>303</x:v>
      </x:c>
      <x:c r="F492" s="7">
        <x:v>1.67E-3</x:v>
      </x:c>
      <x:c r="G492" s="2" t="s">
        <x:v>304</x:v>
      </x:c>
      <x:c r="H492" s="8">
        <x:v>7.4999999999999997E-2</x:v>
      </x:c>
      <x:c r="I492" s="9" t="n">
        <x:f t="shared" si="7">IFERROR(ABS(F492)/H492,"")</x:f>
        <x:v>0.022266666666666667</x:v>
      </x:c>
      <x:c r="J492" s="2" t="s">
        <x:v>298</x:v>
      </x:c>
      <x:c r="K492" s="8">
        <x:v>0.95082999999999995</x:v>
      </x:c>
      <x:c r="L492" s="2" t="s">
        <x:v>299</x:v>
      </x:c>
      <x:c r="M492" s="2">
        <x:v>1</x:v>
      </x:c>
      <x:c r="N492" s="2" t="s">
        <x:v>79</x:v>
      </x:c>
      <x:c r="O492" s="5">
        <x:v>64.2</x:v>
      </x:c>
      <x:c r="P492" s="2">
        <x:v>517</x:v>
      </x:c>
      <x:c r="Q492" s="2" t="n">
        <x:f>IF(OR(J492="positive",J492="negative"),1,0)</x:f>
        <x:v>1</x:v>
      </x:c>
    </x:row>
    <x:row r="493" ht="15">
      <x:c r="A493" s="2" t="s">
        <x:v>47</x:v>
      </x:c>
      <x:c r="B493" s="2" t="s">
        <x:v>207</x:v>
      </x:c>
      <x:c r="C493" s="2">
        <x:v>3</x:v>
      </x:c>
      <x:c r="D493" s="2" t="s">
        <x:v>305</x:v>
      </x:c>
      <x:c r="E493" s="2" t="s">
        <x:v>306</x:v>
      </x:c>
      <x:c r="F493" s="7">
        <x:v>6.7080000000000001E-2</x:v>
      </x:c>
      <x:c r="G493" s="2" t="s">
        <x:v>304</x:v>
      </x:c>
      <x:c r="H493" s="8">
        <x:v>0.3</x:v>
      </x:c>
      <x:c r="I493" s="9" t="n">
        <x:f t="shared" si="7">IFERROR(ABS(F493)/H493,"")</x:f>
        <x:v>0.22360000000000002</x:v>
      </x:c>
      <x:c r="J493" s="2" t="s">
        <x:v>298</x:v>
      </x:c>
      <x:c r="K493" s="8">
        <x:v>0.93786999999999998</x:v>
      </x:c>
      <x:c r="L493" s="2" t="s">
        <x:v>299</x:v>
      </x:c>
      <x:c r="M493" s="2">
        <x:v>1</x:v>
      </x:c>
      <x:c r="N493" s="2" t="s">
        <x:v>79</x:v>
      </x:c>
      <x:c r="O493" s="5">
        <x:v>64.2</x:v>
      </x:c>
      <x:c r="P493" s="2">
        <x:v>517</x:v>
      </x:c>
      <x:c r="Q493" s="2" t="n">
        <x:f>IF(OR(J493="positive",J493="negative"),1,0)</x:f>
        <x:v>1</x:v>
      </x:c>
    </x:row>
    <x:row r="494" ht="15">
      <x:c r="A494" s="2" t="s">
        <x:v>47</x:v>
      </x:c>
      <x:c r="B494" s="2" t="s">
        <x:v>208</x:v>
      </x:c>
      <x:c r="C494" s="2">
        <x:v>4</x:v>
      </x:c>
      <x:c r="D494" s="2" t="s">
        <x:v>295</x:v>
      </x:c>
      <x:c r="E494" s="2" t="s">
        <x:v>296</x:v>
      </x:c>
      <x:c r="F494" s="7">
        <x:v>0.59694000000000003</x:v>
      </x:c>
      <x:c r="G494" s="2" t="s">
        <x:v>297</x:v>
      </x:c>
      <x:c r="H494" s="8">
        <x:v>3.5</x:v>
      </x:c>
      <x:c r="I494" s="9" t="n">
        <x:f t="shared" si="7">IFERROR(ABS(F494)/H494,"")</x:f>
        <x:v>0.1705542857142857</x:v>
      </x:c>
      <x:c r="J494" s="2" t="s">
        <x:v>298</x:v>
      </x:c>
      <x:c r="K494" s="8">
        <x:v>0.92598999999999998</x:v>
      </x:c>
      <x:c r="L494" s="2" t="s">
        <x:v>299</x:v>
      </x:c>
      <x:c r="M494" s="2">
        <x:v>1</x:v>
      </x:c>
      <x:c r="N494" s="2" t="s">
        <x:v>79</x:v>
      </x:c>
      <x:c r="O494" s="5">
        <x:v>62</x:v>
      </x:c>
      <x:c r="P494" s="2">
        <x:v>324</x:v>
      </x:c>
      <x:c r="Q494" s="2" t="n">
        <x:f>IF(OR(J494="positive",J494="negative"),1,0)</x:f>
        <x:v>1</x:v>
      </x:c>
    </x:row>
    <x:row r="495" ht="15">
      <x:c r="A495" s="2" t="s">
        <x:v>47</x:v>
      </x:c>
      <x:c r="B495" s="2" t="s">
        <x:v>208</x:v>
      </x:c>
      <x:c r="C495" s="2">
        <x:v>4</x:v>
      </x:c>
      <x:c r="D495" s="2" t="s">
        <x:v>300</x:v>
      </x:c>
      <x:c r="E495" s="2" t="s">
        <x:v>301</x:v>
      </x:c>
      <x:c r="F495" s="7">
        <x:v>0.12967000000000001</x:v>
      </x:c>
      <x:c r="G495" s="2" t="s">
        <x:v>302</x:v>
      </x:c>
      <x:c r="H495" s="8">
        <x:v>0.45</x:v>
      </x:c>
      <x:c r="I495" s="9" t="n">
        <x:f t="shared" si="7">IFERROR(ABS(F495)/H495,"")</x:f>
        <x:v>0.28815555555555555</x:v>
      </x:c>
      <x:c r="J495" s="2" t="s">
        <x:v>298</x:v>
      </x:c>
      <x:c r="K495" s="8">
        <x:v>0.94660999999999995</x:v>
      </x:c>
      <x:c r="L495" s="2" t="s">
        <x:v>299</x:v>
      </x:c>
      <x:c r="M495" s="2">
        <x:v>1</x:v>
      </x:c>
      <x:c r="N495" s="2" t="s">
        <x:v>79</x:v>
      </x:c>
      <x:c r="O495" s="5">
        <x:v>62</x:v>
      </x:c>
      <x:c r="P495" s="2">
        <x:v>324</x:v>
      </x:c>
      <x:c r="Q495" s="2" t="n">
        <x:f>IF(OR(J495="positive",J495="negative"),1,0)</x:f>
        <x:v>1</x:v>
      </x:c>
    </x:row>
    <x:row r="496" ht="15">
      <x:c r="A496" s="2" t="s">
        <x:v>47</x:v>
      </x:c>
      <x:c r="B496" s="2" t="s">
        <x:v>208</x:v>
      </x:c>
      <x:c r="C496" s="2">
        <x:v>4</x:v>
      </x:c>
      <x:c r="D496" s="2" t="s">
        <x:v>18</x:v>
      </x:c>
      <x:c r="E496" s="2" t="s">
        <x:v>303</x:v>
      </x:c>
      <x:c r="F496" s="7">
        <x:v>-3.48E-3</x:v>
      </x:c>
      <x:c r="G496" s="2" t="s">
        <x:v>304</x:v>
      </x:c>
      <x:c r="H496" s="8">
        <x:v>7.4999999999999997E-2</x:v>
      </x:c>
      <x:c r="I496" s="9" t="n">
        <x:f t="shared" si="7">IFERROR(ABS(F496)/H496,"")</x:f>
        <x:v>0.046400000000000004</x:v>
      </x:c>
      <x:c r="J496" s="2" t="s">
        <x:v>298</x:v>
      </x:c>
      <x:c r="K496" s="8">
        <x:v>0.94728000000000001</x:v>
      </x:c>
      <x:c r="L496" s="2" t="s">
        <x:v>299</x:v>
      </x:c>
      <x:c r="M496" s="2">
        <x:v>1</x:v>
      </x:c>
      <x:c r="N496" s="2" t="s">
        <x:v>79</x:v>
      </x:c>
      <x:c r="O496" s="5">
        <x:v>62</x:v>
      </x:c>
      <x:c r="P496" s="2">
        <x:v>324</x:v>
      </x:c>
      <x:c r="Q496" s="2" t="n">
        <x:f>IF(OR(J496="positive",J496="negative"),1,0)</x:f>
        <x:v>1</x:v>
      </x:c>
    </x:row>
    <x:row r="497" ht="15">
      <x:c r="A497" s="2" t="s">
        <x:v>47</x:v>
      </x:c>
      <x:c r="B497" s="2" t="s">
        <x:v>208</x:v>
      </x:c>
      <x:c r="C497" s="2">
        <x:v>4</x:v>
      </x:c>
      <x:c r="D497" s="2" t="s">
        <x:v>305</x:v>
      </x:c>
      <x:c r="E497" s="2" t="s">
        <x:v>306</x:v>
      </x:c>
      <x:c r="F497" s="7">
        <x:v>5.4200000000000003E-3</x:v>
      </x:c>
      <x:c r="G497" s="2" t="s">
        <x:v>304</x:v>
      </x:c>
      <x:c r="H497" s="8">
        <x:v>0.3</x:v>
      </x:c>
      <x:c r="I497" s="9" t="n">
        <x:f t="shared" si="7">IFERROR(ABS(F497)/H497,"")</x:f>
        <x:v>0.01806666666666667</x:v>
      </x:c>
      <x:c r="J497" s="2" t="s">
        <x:v>298</x:v>
      </x:c>
      <x:c r="K497" s="8">
        <x:v>0.98226999999999998</x:v>
      </x:c>
      <x:c r="L497" s="2" t="s">
        <x:v>299</x:v>
      </x:c>
      <x:c r="M497" s="2">
        <x:v>1</x:v>
      </x:c>
      <x:c r="N497" s="2" t="s">
        <x:v>79</x:v>
      </x:c>
      <x:c r="O497" s="5">
        <x:v>62</x:v>
      </x:c>
      <x:c r="P497" s="2">
        <x:v>324</x:v>
      </x:c>
      <x:c r="Q497" s="2" t="n">
        <x:f>IF(OR(J497="positive",J497="negative"),1,0)</x:f>
        <x:v>1</x:v>
      </x:c>
    </x:row>
    <x:row r="498" ht="15">
      <x:c r="A498" s="2" t="s">
        <x:v>47</x:v>
      </x:c>
      <x:c r="B498" s="2" t="s">
        <x:v>209</x:v>
      </x:c>
      <x:c r="C498" s="2">
        <x:v>5</x:v>
      </x:c>
      <x:c r="D498" s="2" t="s">
        <x:v>295</x:v>
      </x:c>
      <x:c r="E498" s="2" t="s">
        <x:v>296</x:v>
      </x:c>
      <x:c r="F498" s="7">
        <x:v>0.48514000000000002</x:v>
      </x:c>
      <x:c r="G498" s="2" t="s">
        <x:v>297</x:v>
      </x:c>
      <x:c r="H498" s="8">
        <x:v>3.5</x:v>
      </x:c>
      <x:c r="I498" s="9" t="n">
        <x:f t="shared" si="7">IFERROR(ABS(F498)/H498,"")</x:f>
        <x:v>0.13861142857142858</x:v>
      </x:c>
      <x:c r="J498" s="2" t="s">
        <x:v>298</x:v>
      </x:c>
      <x:c r="K498" s="8">
        <x:v>0.96911000000000003</x:v>
      </x:c>
      <x:c r="L498" s="2" t="s">
        <x:v>299</x:v>
      </x:c>
      <x:c r="M498" s="2">
        <x:v>1</x:v>
      </x:c>
      <x:c r="N498" s="2" t="s">
        <x:v>79</x:v>
      </x:c>
      <x:c r="O498" s="5">
        <x:v>61.1</x:v>
      </x:c>
      <x:c r="P498" s="2">
        <x:v>273</x:v>
      </x:c>
      <x:c r="Q498" s="2" t="n">
        <x:f>IF(OR(J498="positive",J498="negative"),1,0)</x:f>
        <x:v>1</x:v>
      </x:c>
    </x:row>
    <x:row r="499" ht="15">
      <x:c r="A499" s="2" t="s">
        <x:v>47</x:v>
      </x:c>
      <x:c r="B499" s="2" t="s">
        <x:v>209</x:v>
      </x:c>
      <x:c r="C499" s="2">
        <x:v>5</x:v>
      </x:c>
      <x:c r="D499" s="2" t="s">
        <x:v>300</x:v>
      </x:c>
      <x:c r="E499" s="2" t="s">
        <x:v>301</x:v>
      </x:c>
      <x:c r="F499" s="7">
        <x:v>0.12617999999999999</x:v>
      </x:c>
      <x:c r="G499" s="2" t="s">
        <x:v>302</x:v>
      </x:c>
      <x:c r="H499" s="8">
        <x:v>0.45</x:v>
      </x:c>
      <x:c r="I499" s="9" t="n">
        <x:f t="shared" si="7">IFERROR(ABS(F499)/H499,"")</x:f>
        <x:v>0.2804</x:v>
      </x:c>
      <x:c r="J499" s="2" t="s">
        <x:v>298</x:v>
      </x:c>
      <x:c r="K499" s="8">
        <x:v>0.91035999999999995</x:v>
      </x:c>
      <x:c r="L499" s="2" t="s">
        <x:v>299</x:v>
      </x:c>
      <x:c r="M499" s="2">
        <x:v>1</x:v>
      </x:c>
      <x:c r="N499" s="2" t="s">
        <x:v>79</x:v>
      </x:c>
      <x:c r="O499" s="5">
        <x:v>61.1</x:v>
      </x:c>
      <x:c r="P499" s="2">
        <x:v>273</x:v>
      </x:c>
      <x:c r="Q499" s="2" t="n">
        <x:f>IF(OR(J499="positive",J499="negative"),1,0)</x:f>
        <x:v>1</x:v>
      </x:c>
    </x:row>
    <x:row r="500" ht="15">
      <x:c r="A500" s="2" t="s">
        <x:v>47</x:v>
      </x:c>
      <x:c r="B500" s="2" t="s">
        <x:v>209</x:v>
      </x:c>
      <x:c r="C500" s="2">
        <x:v>5</x:v>
      </x:c>
      <x:c r="D500" s="2" t="s">
        <x:v>18</x:v>
      </x:c>
      <x:c r="E500" s="2" t="s">
        <x:v>303</x:v>
      </x:c>
      <x:c r="F500" s="7">
        <x:v>7.3400000000000002E-3</x:v>
      </x:c>
      <x:c r="G500" s="2" t="s">
        <x:v>304</x:v>
      </x:c>
      <x:c r="H500" s="8">
        <x:v>7.4999999999999997E-2</x:v>
      </x:c>
      <x:c r="I500" s="9" t="n">
        <x:f t="shared" si="7">IFERROR(ABS(F500)/H500,"")</x:f>
        <x:v>0.09786666666666667</x:v>
      </x:c>
      <x:c r="J500" s="2" t="s">
        <x:v>298</x:v>
      </x:c>
      <x:c r="K500" s="8">
        <x:v>0.89266000000000001</x:v>
      </x:c>
      <x:c r="L500" s="2" t="s">
        <x:v>299</x:v>
      </x:c>
      <x:c r="M500" s="2">
        <x:v>1</x:v>
      </x:c>
      <x:c r="N500" s="2" t="s">
        <x:v>79</x:v>
      </x:c>
      <x:c r="O500" s="5">
        <x:v>61.1</x:v>
      </x:c>
      <x:c r="P500" s="2">
        <x:v>273</x:v>
      </x:c>
      <x:c r="Q500" s="2" t="n">
        <x:f>IF(OR(J500="positive",J500="negative"),1,0)</x:f>
        <x:v>1</x:v>
      </x:c>
    </x:row>
    <x:row r="501" ht="15">
      <x:c r="A501" s="2" t="s">
        <x:v>47</x:v>
      </x:c>
      <x:c r="B501" s="2" t="s">
        <x:v>209</x:v>
      </x:c>
      <x:c r="C501" s="2">
        <x:v>5</x:v>
      </x:c>
      <x:c r="D501" s="2" t="s">
        <x:v>305</x:v>
      </x:c>
      <x:c r="E501" s="2" t="s">
        <x:v>306</x:v>
      </x:c>
      <x:c r="F501" s="7">
        <x:v>3.014E-2</x:v>
      </x:c>
      <x:c r="G501" s="2" t="s">
        <x:v>304</x:v>
      </x:c>
      <x:c r="H501" s="8">
        <x:v>0.3</x:v>
      </x:c>
      <x:c r="I501" s="9" t="n">
        <x:f t="shared" si="7">IFERROR(ABS(F501)/H501,"")</x:f>
        <x:v>0.10046666666666668</x:v>
      </x:c>
      <x:c r="J501" s="2" t="s">
        <x:v>298</x:v>
      </x:c>
      <x:c r="K501" s="8">
        <x:v>0.94450000000000001</x:v>
      </x:c>
      <x:c r="L501" s="2" t="s">
        <x:v>299</x:v>
      </x:c>
      <x:c r="M501" s="2">
        <x:v>1</x:v>
      </x:c>
      <x:c r="N501" s="2" t="s">
        <x:v>79</x:v>
      </x:c>
      <x:c r="O501" s="5">
        <x:v>61.1</x:v>
      </x:c>
      <x:c r="P501" s="2">
        <x:v>273</x:v>
      </x:c>
      <x:c r="Q501" s="2" t="n">
        <x:f>IF(OR(J501="positive",J501="negative"),1,0)</x:f>
        <x:v>1</x:v>
      </x:c>
    </x:row>
    <x:row r="502" ht="15">
      <x:c r="A502" s="2" t="s">
        <x:v>48</x:v>
      </x:c>
      <x:c r="B502" s="2" t="s">
        <x:v>210</x:v>
      </x:c>
      <x:c r="C502" s="2">
        <x:v>1</x:v>
      </x:c>
      <x:c r="D502" s="2" t="s">
        <x:v>295</x:v>
      </x:c>
      <x:c r="E502" s="2" t="s">
        <x:v>296</x:v>
      </x:c>
      <x:c r="F502" s="7">
        <x:v>0.44520999999999999</x:v>
      </x:c>
      <x:c r="G502" s="2" t="s">
        <x:v>297</x:v>
      </x:c>
      <x:c r="H502" s="8">
        <x:v>3.5</x:v>
      </x:c>
      <x:c r="I502" s="9" t="n">
        <x:f t="shared" si="7">IFERROR(ABS(F502)/H502,"")</x:f>
        <x:v>0.12720285714285715</x:v>
      </x:c>
      <x:c r="J502" s="2" t="s">
        <x:v>298</x:v>
      </x:c>
      <x:c r="K502" s="8">
        <x:v>0.95255000000000001</x:v>
      </x:c>
      <x:c r="L502" s="2" t="s">
        <x:v>299</x:v>
      </x:c>
      <x:c r="M502" s="2">
        <x:v>1</x:v>
      </x:c>
      <x:c r="N502" s="2" t="s">
        <x:v>79</x:v>
      </x:c>
      <x:c r="O502" s="5">
        <x:v>57.7</x:v>
      </x:c>
      <x:c r="P502" s="2">
        <x:v>469</x:v>
      </x:c>
      <x:c r="Q502" s="2" t="n">
        <x:f>IF(OR(J502="positive",J502="negative"),1,0)</x:f>
        <x:v>1</x:v>
      </x:c>
    </x:row>
    <x:row r="503" ht="15">
      <x:c r="A503" s="2" t="s">
        <x:v>48</x:v>
      </x:c>
      <x:c r="B503" s="2" t="s">
        <x:v>210</x:v>
      </x:c>
      <x:c r="C503" s="2">
        <x:v>1</x:v>
      </x:c>
      <x:c r="D503" s="2" t="s">
        <x:v>300</x:v>
      </x:c>
      <x:c r="E503" s="2" t="s">
        <x:v>301</x:v>
      </x:c>
      <x:c r="F503" s="7">
        <x:v>0.14002000000000001</x:v>
      </x:c>
      <x:c r="G503" s="2" t="s">
        <x:v>302</x:v>
      </x:c>
      <x:c r="H503" s="8">
        <x:v>0.45</x:v>
      </x:c>
      <x:c r="I503" s="9" t="n">
        <x:f t="shared" si="7">IFERROR(ABS(F503)/H503,"")</x:f>
        <x:v>0.3111555555555556</x:v>
      </x:c>
      <x:c r="J503" s="2" t="s">
        <x:v>298</x:v>
      </x:c>
      <x:c r="K503" s="8">
        <x:v>0.95709</x:v>
      </x:c>
      <x:c r="L503" s="2" t="s">
        <x:v>299</x:v>
      </x:c>
      <x:c r="M503" s="2">
        <x:v>1</x:v>
      </x:c>
      <x:c r="N503" s="2" t="s">
        <x:v>79</x:v>
      </x:c>
      <x:c r="O503" s="5">
        <x:v>57.7</x:v>
      </x:c>
      <x:c r="P503" s="2">
        <x:v>469</x:v>
      </x:c>
      <x:c r="Q503" s="2" t="n">
        <x:f>IF(OR(J503="positive",J503="negative"),1,0)</x:f>
        <x:v>1</x:v>
      </x:c>
    </x:row>
    <x:row r="504" ht="15">
      <x:c r="A504" s="2" t="s">
        <x:v>48</x:v>
      </x:c>
      <x:c r="B504" s="2" t="s">
        <x:v>210</x:v>
      </x:c>
      <x:c r="C504" s="2">
        <x:v>1</x:v>
      </x:c>
      <x:c r="D504" s="2" t="s">
        <x:v>18</x:v>
      </x:c>
      <x:c r="E504" s="2" t="s">
        <x:v>303</x:v>
      </x:c>
      <x:c r="F504" s="7">
        <x:v>1.17E-3</x:v>
      </x:c>
      <x:c r="G504" s="2" t="s">
        <x:v>304</x:v>
      </x:c>
      <x:c r="H504" s="8">
        <x:v>7.4999999999999997E-2</x:v>
      </x:c>
      <x:c r="I504" s="9" t="n">
        <x:f t="shared" si="7">IFERROR(ABS(F504)/H504,"")</x:f>
        <x:v>0.015600000000000001</x:v>
      </x:c>
      <x:c r="J504" s="2" t="s">
        <x:v>298</x:v>
      </x:c>
      <x:c r="K504" s="8">
        <x:v>0.91839999999999999</x:v>
      </x:c>
      <x:c r="L504" s="2" t="s">
        <x:v>299</x:v>
      </x:c>
      <x:c r="M504" s="2">
        <x:v>1</x:v>
      </x:c>
      <x:c r="N504" s="2" t="s">
        <x:v>79</x:v>
      </x:c>
      <x:c r="O504" s="5">
        <x:v>57.7</x:v>
      </x:c>
      <x:c r="P504" s="2">
        <x:v>469</x:v>
      </x:c>
      <x:c r="Q504" s="2" t="n">
        <x:f>IF(OR(J504="positive",J504="negative"),1,0)</x:f>
        <x:v>1</x:v>
      </x:c>
    </x:row>
    <x:row r="505" ht="15">
      <x:c r="A505" s="2" t="s">
        <x:v>48</x:v>
      </x:c>
      <x:c r="B505" s="2" t="s">
        <x:v>210</x:v>
      </x:c>
      <x:c r="C505" s="2">
        <x:v>1</x:v>
      </x:c>
      <x:c r="D505" s="2" t="s">
        <x:v>305</x:v>
      </x:c>
      <x:c r="E505" s="2" t="s">
        <x:v>306</x:v>
      </x:c>
      <x:c r="F505" s="7">
        <x:v>-5.9619999999999999E-2</x:v>
      </x:c>
      <x:c r="G505" s="2" t="s">
        <x:v>304</x:v>
      </x:c>
      <x:c r="H505" s="8">
        <x:v>0.3</x:v>
      </x:c>
      <x:c r="I505" s="9" t="n">
        <x:f t="shared" si="7">IFERROR(ABS(F505)/H505,"")</x:f>
        <x:v>0.19873333333333335</x:v>
      </x:c>
      <x:c r="J505" s="2" t="s">
        <x:v>298</x:v>
      </x:c>
      <x:c r="K505" s="8">
        <x:v>0.96277000000000001</x:v>
      </x:c>
      <x:c r="L505" s="2" t="s">
        <x:v>299</x:v>
      </x:c>
      <x:c r="M505" s="2">
        <x:v>1</x:v>
      </x:c>
      <x:c r="N505" s="2" t="s">
        <x:v>79</x:v>
      </x:c>
      <x:c r="O505" s="5">
        <x:v>57.7</x:v>
      </x:c>
      <x:c r="P505" s="2">
        <x:v>469</x:v>
      </x:c>
      <x:c r="Q505" s="2" t="n">
        <x:f>IF(OR(J505="positive",J505="negative"),1,0)</x:f>
        <x:v>1</x:v>
      </x:c>
    </x:row>
    <x:row r="506" ht="15">
      <x:c r="A506" s="2" t="s">
        <x:v>48</x:v>
      </x:c>
      <x:c r="B506" s="2" t="s">
        <x:v>211</x:v>
      </x:c>
      <x:c r="C506" s="2">
        <x:v>2</x:v>
      </x:c>
      <x:c r="D506" s="2" t="s">
        <x:v>295</x:v>
      </x:c>
      <x:c r="E506" s="2" t="s">
        <x:v>296</x:v>
      </x:c>
      <x:c r="F506" s="7">
        <x:v>0.46004</x:v>
      </x:c>
      <x:c r="G506" s="2" t="s">
        <x:v>297</x:v>
      </x:c>
      <x:c r="H506" s="8">
        <x:v>3.5</x:v>
      </x:c>
      <x:c r="I506" s="9" t="n">
        <x:f t="shared" si="7">IFERROR(ABS(F506)/H506,"")</x:f>
        <x:v>0.13144</x:v>
      </x:c>
      <x:c r="J506" s="2" t="s">
        <x:v>298</x:v>
      </x:c>
      <x:c r="K506" s="8">
        <x:v>0.96631999999999996</x:v>
      </x:c>
      <x:c r="L506" s="2" t="s">
        <x:v>299</x:v>
      </x:c>
      <x:c r="M506" s="2">
        <x:v>1</x:v>
      </x:c>
      <x:c r="N506" s="2" t="s">
        <x:v>79</x:v>
      </x:c>
      <x:c r="O506" s="5">
        <x:v>60.5</x:v>
      </x:c>
      <x:c r="P506" s="2">
        <x:v>555</x:v>
      </x:c>
      <x:c r="Q506" s="2" t="n">
        <x:f>IF(OR(J506="positive",J506="negative"),1,0)</x:f>
        <x:v>1</x:v>
      </x:c>
    </x:row>
    <x:row r="507" ht="15">
      <x:c r="A507" s="2" t="s">
        <x:v>48</x:v>
      </x:c>
      <x:c r="B507" s="2" t="s">
        <x:v>211</x:v>
      </x:c>
      <x:c r="C507" s="2">
        <x:v>2</x:v>
      </x:c>
      <x:c r="D507" s="2" t="s">
        <x:v>300</x:v>
      </x:c>
      <x:c r="E507" s="2" t="s">
        <x:v>301</x:v>
      </x:c>
      <x:c r="F507" s="7">
        <x:v>0.10082000000000001</x:v>
      </x:c>
      <x:c r="G507" s="2" t="s">
        <x:v>302</x:v>
      </x:c>
      <x:c r="H507" s="8">
        <x:v>0.45</x:v>
      </x:c>
      <x:c r="I507" s="9" t="n">
        <x:f t="shared" si="7">IFERROR(ABS(F507)/H507,"")</x:f>
        <x:v>0.22404444444444446</x:v>
      </x:c>
      <x:c r="J507" s="2" t="s">
        <x:v>298</x:v>
      </x:c>
      <x:c r="K507" s="8">
        <x:v>0.96126999999999996</x:v>
      </x:c>
      <x:c r="L507" s="2" t="s">
        <x:v>299</x:v>
      </x:c>
      <x:c r="M507" s="2">
        <x:v>1</x:v>
      </x:c>
      <x:c r="N507" s="2" t="s">
        <x:v>79</x:v>
      </x:c>
      <x:c r="O507" s="5">
        <x:v>60.5</x:v>
      </x:c>
      <x:c r="P507" s="2">
        <x:v>555</x:v>
      </x:c>
      <x:c r="Q507" s="2" t="n">
        <x:f>IF(OR(J507="positive",J507="negative"),1,0)</x:f>
        <x:v>1</x:v>
      </x:c>
    </x:row>
    <x:row r="508" ht="15">
      <x:c r="A508" s="2" t="s">
        <x:v>48</x:v>
      </x:c>
      <x:c r="B508" s="2" t="s">
        <x:v>211</x:v>
      </x:c>
      <x:c r="C508" s="2">
        <x:v>2</x:v>
      </x:c>
      <x:c r="D508" s="2" t="s">
        <x:v>18</x:v>
      </x:c>
      <x:c r="E508" s="2" t="s">
        <x:v>303</x:v>
      </x:c>
      <x:c r="F508" s="7">
        <x:v>-2.47E-3</x:v>
      </x:c>
      <x:c r="G508" s="2" t="s">
        <x:v>304</x:v>
      </x:c>
      <x:c r="H508" s="8">
        <x:v>7.4999999999999997E-2</x:v>
      </x:c>
      <x:c r="I508" s="9" t="n">
        <x:f t="shared" si="7">IFERROR(ABS(F508)/H508,"")</x:f>
        <x:v>0.032933333333333335</x:v>
      </x:c>
      <x:c r="J508" s="2" t="s">
        <x:v>298</x:v>
      </x:c>
      <x:c r="K508" s="8">
        <x:v>0.91574999999999995</x:v>
      </x:c>
      <x:c r="L508" s="2" t="s">
        <x:v>299</x:v>
      </x:c>
      <x:c r="M508" s="2">
        <x:v>1</x:v>
      </x:c>
      <x:c r="N508" s="2" t="s">
        <x:v>79</x:v>
      </x:c>
      <x:c r="O508" s="5">
        <x:v>60.5</x:v>
      </x:c>
      <x:c r="P508" s="2">
        <x:v>555</x:v>
      </x:c>
      <x:c r="Q508" s="2" t="n">
        <x:f>IF(OR(J508="positive",J508="negative"),1,0)</x:f>
        <x:v>1</x:v>
      </x:c>
    </x:row>
    <x:row r="509" ht="15">
      <x:c r="A509" s="2" t="s">
        <x:v>48</x:v>
      </x:c>
      <x:c r="B509" s="2" t="s">
        <x:v>211</x:v>
      </x:c>
      <x:c r="C509" s="2">
        <x:v>2</x:v>
      </x:c>
      <x:c r="D509" s="2" t="s">
        <x:v>305</x:v>
      </x:c>
      <x:c r="E509" s="2" t="s">
        <x:v>306</x:v>
      </x:c>
      <x:c r="F509" s="7">
        <x:v>-7.9250000000000001E-2</x:v>
      </x:c>
      <x:c r="G509" s="2" t="s">
        <x:v>304</x:v>
      </x:c>
      <x:c r="H509" s="8">
        <x:v>0.3</x:v>
      </x:c>
      <x:c r="I509" s="9" t="n">
        <x:f t="shared" si="7">IFERROR(ABS(F509)/H509,"")</x:f>
        <x:v>0.26416666666666666</x:v>
      </x:c>
      <x:c r="J509" s="2" t="s">
        <x:v>298</x:v>
      </x:c>
      <x:c r="K509" s="8">
        <x:v>0.96636999999999995</x:v>
      </x:c>
      <x:c r="L509" s="2" t="s">
        <x:v>299</x:v>
      </x:c>
      <x:c r="M509" s="2">
        <x:v>1</x:v>
      </x:c>
      <x:c r="N509" s="2" t="s">
        <x:v>79</x:v>
      </x:c>
      <x:c r="O509" s="5">
        <x:v>60.5</x:v>
      </x:c>
      <x:c r="P509" s="2">
        <x:v>555</x:v>
      </x:c>
      <x:c r="Q509" s="2" t="n">
        <x:f>IF(OR(J509="positive",J509="negative"),1,0)</x:f>
        <x:v>1</x:v>
      </x:c>
    </x:row>
    <x:row r="510" ht="15">
      <x:c r="A510" s="2" t="s">
        <x:v>48</x:v>
      </x:c>
      <x:c r="B510" s="2" t="s">
        <x:v>212</x:v>
      </x:c>
      <x:c r="C510" s="2">
        <x:v>3</x:v>
      </x:c>
      <x:c r="D510" s="2" t="s">
        <x:v>295</x:v>
      </x:c>
      <x:c r="E510" s="2" t="s">
        <x:v>296</x:v>
      </x:c>
      <x:c r="F510" s="7">
        <x:v>0.14935000000000001</x:v>
      </x:c>
      <x:c r="G510" s="2" t="s">
        <x:v>297</x:v>
      </x:c>
      <x:c r="H510" s="8">
        <x:v>3.5</x:v>
      </x:c>
      <x:c r="I510" s="9" t="n">
        <x:f t="shared" si="7">IFERROR(ABS(F510)/H510,"")</x:f>
        <x:v>0.042671428571428575</x:v>
      </x:c>
      <x:c r="J510" s="2" t="s">
        <x:v>298</x:v>
      </x:c>
      <x:c r="K510" s="8">
        <x:v>0.98538000000000003</x:v>
      </x:c>
      <x:c r="L510" s="2" t="s">
        <x:v>299</x:v>
      </x:c>
      <x:c r="M510" s="2">
        <x:v>1</x:v>
      </x:c>
      <x:c r="N510" s="2" t="s">
        <x:v>79</x:v>
      </x:c>
      <x:c r="O510" s="5">
        <x:v>56</x:v>
      </x:c>
      <x:c r="P510" s="2">
        <x:v>455</x:v>
      </x:c>
      <x:c r="Q510" s="2" t="n">
        <x:f>IF(OR(J510="positive",J510="negative"),1,0)</x:f>
        <x:v>1</x:v>
      </x:c>
    </x:row>
    <x:row r="511" ht="15">
      <x:c r="A511" s="2" t="s">
        <x:v>48</x:v>
      </x:c>
      <x:c r="B511" s="2" t="s">
        <x:v>212</x:v>
      </x:c>
      <x:c r="C511" s="2">
        <x:v>3</x:v>
      </x:c>
      <x:c r="D511" s="2" t="s">
        <x:v>300</x:v>
      </x:c>
      <x:c r="E511" s="2" t="s">
        <x:v>301</x:v>
      </x:c>
      <x:c r="F511" s="7">
        <x:v>0.11516999999999999</x:v>
      </x:c>
      <x:c r="G511" s="2" t="s">
        <x:v>302</x:v>
      </x:c>
      <x:c r="H511" s="8">
        <x:v>0.45</x:v>
      </x:c>
      <x:c r="I511" s="9" t="n">
        <x:f t="shared" si="7">IFERROR(ABS(F511)/H511,"")</x:f>
        <x:v>0.2559333333333333</x:v>
      </x:c>
      <x:c r="J511" s="2" t="s">
        <x:v>298</x:v>
      </x:c>
      <x:c r="K511" s="8">
        <x:v>0.91691</x:v>
      </x:c>
      <x:c r="L511" s="2" t="s">
        <x:v>299</x:v>
      </x:c>
      <x:c r="M511" s="2">
        <x:v>1</x:v>
      </x:c>
      <x:c r="N511" s="2" t="s">
        <x:v>79</x:v>
      </x:c>
      <x:c r="O511" s="5">
        <x:v>56</x:v>
      </x:c>
      <x:c r="P511" s="2">
        <x:v>455</x:v>
      </x:c>
      <x:c r="Q511" s="2" t="n">
        <x:f>IF(OR(J511="positive",J511="negative"),1,0)</x:f>
        <x:v>1</x:v>
      </x:c>
    </x:row>
    <x:row r="512" ht="15">
      <x:c r="A512" s="2" t="s">
        <x:v>48</x:v>
      </x:c>
      <x:c r="B512" s="2" t="s">
        <x:v>212</x:v>
      </x:c>
      <x:c r="C512" s="2">
        <x:v>3</x:v>
      </x:c>
      <x:c r="D512" s="2" t="s">
        <x:v>18</x:v>
      </x:c>
      <x:c r="E512" s="2" t="s">
        <x:v>303</x:v>
      </x:c>
      <x:c r="F512" s="7">
        <x:v>9.6000000000000002E-4</x:v>
      </x:c>
      <x:c r="G512" s="2" t="s">
        <x:v>304</x:v>
      </x:c>
      <x:c r="H512" s="8">
        <x:v>7.4999999999999997E-2</x:v>
      </x:c>
      <x:c r="I512" s="9" t="n">
        <x:f t="shared" si="7">IFERROR(ABS(F512)/H512,"")</x:f>
        <x:v>0.0128</x:v>
      </x:c>
      <x:c r="J512" s="2" t="s">
        <x:v>298</x:v>
      </x:c>
      <x:c r="K512" s="8">
        <x:v>0.93744000000000005</x:v>
      </x:c>
      <x:c r="L512" s="2" t="s">
        <x:v>299</x:v>
      </x:c>
      <x:c r="M512" s="2">
        <x:v>1</x:v>
      </x:c>
      <x:c r="N512" s="2" t="s">
        <x:v>79</x:v>
      </x:c>
      <x:c r="O512" s="5">
        <x:v>56</x:v>
      </x:c>
      <x:c r="P512" s="2">
        <x:v>455</x:v>
      </x:c>
      <x:c r="Q512" s="2" t="n">
        <x:f>IF(OR(J512="positive",J512="negative"),1,0)</x:f>
        <x:v>1</x:v>
      </x:c>
    </x:row>
    <x:row r="513" ht="15">
      <x:c r="A513" s="2" t="s">
        <x:v>48</x:v>
      </x:c>
      <x:c r="B513" s="2" t="s">
        <x:v>212</x:v>
      </x:c>
      <x:c r="C513" s="2">
        <x:v>3</x:v>
      </x:c>
      <x:c r="D513" s="2" t="s">
        <x:v>305</x:v>
      </x:c>
      <x:c r="E513" s="2" t="s">
        <x:v>306</x:v>
      </x:c>
      <x:c r="F513" s="7">
        <x:v>-6.3899999999999998E-2</x:v>
      </x:c>
      <x:c r="G513" s="2" t="s">
        <x:v>304</x:v>
      </x:c>
      <x:c r="H513" s="8">
        <x:v>0.3</x:v>
      </x:c>
      <x:c r="I513" s="9" t="n">
        <x:f t="shared" si="7">IFERROR(ABS(F513)/H513,"")</x:f>
        <x:v>0.213</x:v>
      </x:c>
      <x:c r="J513" s="2" t="s">
        <x:v>298</x:v>
      </x:c>
      <x:c r="K513" s="8">
        <x:v>0.98778999999999995</x:v>
      </x:c>
      <x:c r="L513" s="2" t="s">
        <x:v>299</x:v>
      </x:c>
      <x:c r="M513" s="2">
        <x:v>1</x:v>
      </x:c>
      <x:c r="N513" s="2" t="s">
        <x:v>79</x:v>
      </x:c>
      <x:c r="O513" s="5">
        <x:v>56</x:v>
      </x:c>
      <x:c r="P513" s="2">
        <x:v>455</x:v>
      </x:c>
      <x:c r="Q513" s="2" t="n">
        <x:f>IF(OR(J513="positive",J513="negative"),1,0)</x:f>
        <x:v>1</x:v>
      </x:c>
    </x:row>
    <x:row r="514" ht="15">
      <x:c r="A514" s="2" t="s">
        <x:v>48</x:v>
      </x:c>
      <x:c r="B514" s="2" t="s">
        <x:v>213</x:v>
      </x:c>
      <x:c r="C514" s="2">
        <x:v>4</x:v>
      </x:c>
      <x:c r="D514" s="2" t="s">
        <x:v>295</x:v>
      </x:c>
      <x:c r="E514" s="2" t="s">
        <x:v>296</x:v>
      </x:c>
      <x:c r="F514" s="7">
        <x:v>0.33487</x:v>
      </x:c>
      <x:c r="G514" s="2" t="s">
        <x:v>297</x:v>
      </x:c>
      <x:c r="H514" s="8">
        <x:v>3.5</x:v>
      </x:c>
      <x:c r="I514" s="9" t="n">
        <x:f t="shared" ref="I514:I577" si="8">IFERROR(ABS(F514)/H514,"")</x:f>
        <x:v>0.09567714285714286</x:v>
      </x:c>
      <x:c r="J514" s="2" t="s">
        <x:v>298</x:v>
      </x:c>
      <x:c r="K514" s="8">
        <x:v>0.94699999999999995</x:v>
      </x:c>
      <x:c r="L514" s="2" t="s">
        <x:v>299</x:v>
      </x:c>
      <x:c r="M514" s="2">
        <x:v>1</x:v>
      </x:c>
      <x:c r="N514" s="2" t="s">
        <x:v>79</x:v>
      </x:c>
      <x:c r="O514" s="5">
        <x:v>65.400000000000006</x:v>
      </x:c>
      <x:c r="P514" s="2">
        <x:v>321</x:v>
      </x:c>
      <x:c r="Q514" s="2" t="n">
        <x:f>IF(OR(J514="positive",J514="negative"),1,0)</x:f>
        <x:v>1</x:v>
      </x:c>
    </x:row>
    <x:row r="515" ht="15">
      <x:c r="A515" s="2" t="s">
        <x:v>48</x:v>
      </x:c>
      <x:c r="B515" s="2" t="s">
        <x:v>213</x:v>
      </x:c>
      <x:c r="C515" s="2">
        <x:v>4</x:v>
      </x:c>
      <x:c r="D515" s="2" t="s">
        <x:v>300</x:v>
      </x:c>
      <x:c r="E515" s="2" t="s">
        <x:v>301</x:v>
      </x:c>
      <x:c r="F515" s="7">
        <x:v>7.3499999999999996E-2</x:v>
      </x:c>
      <x:c r="G515" s="2" t="s">
        <x:v>302</x:v>
      </x:c>
      <x:c r="H515" s="8">
        <x:v>0.45</x:v>
      </x:c>
      <x:c r="I515" s="9" t="n">
        <x:f t="shared" si="8">IFERROR(ABS(F515)/H515,"")</x:f>
        <x:v>0.16333333333333333</x:v>
      </x:c>
      <x:c r="J515" s="2" t="s">
        <x:v>298</x:v>
      </x:c>
      <x:c r="K515" s="8">
        <x:v>0.96721999999999997</x:v>
      </x:c>
      <x:c r="L515" s="2" t="s">
        <x:v>299</x:v>
      </x:c>
      <x:c r="M515" s="2">
        <x:v>1</x:v>
      </x:c>
      <x:c r="N515" s="2" t="s">
        <x:v>79</x:v>
      </x:c>
      <x:c r="O515" s="5">
        <x:v>65.400000000000006</x:v>
      </x:c>
      <x:c r="P515" s="2">
        <x:v>321</x:v>
      </x:c>
      <x:c r="Q515" s="2" t="n">
        <x:f>IF(OR(J515="positive",J515="negative"),1,0)</x:f>
        <x:v>1</x:v>
      </x:c>
    </x:row>
    <x:row r="516" ht="15">
      <x:c r="A516" s="2" t="s">
        <x:v>48</x:v>
      </x:c>
      <x:c r="B516" s="2" t="s">
        <x:v>213</x:v>
      </x:c>
      <x:c r="C516" s="2">
        <x:v>4</x:v>
      </x:c>
      <x:c r="D516" s="2" t="s">
        <x:v>18</x:v>
      </x:c>
      <x:c r="E516" s="2" t="s">
        <x:v>303</x:v>
      </x:c>
      <x:c r="F516" s="7">
        <x:v>-2.2000000000000001E-3</x:v>
      </x:c>
      <x:c r="G516" s="2" t="s">
        <x:v>304</x:v>
      </x:c>
      <x:c r="H516" s="8">
        <x:v>7.4999999999999997E-2</x:v>
      </x:c>
      <x:c r="I516" s="9" t="n">
        <x:f t="shared" si="8">IFERROR(ABS(F516)/H516,"")</x:f>
        <x:v>0.029333333333333336</x:v>
      </x:c>
      <x:c r="J516" s="2" t="s">
        <x:v>298</x:v>
      </x:c>
      <x:c r="K516" s="8">
        <x:v>0.99</x:v>
      </x:c>
      <x:c r="L516" s="2" t="s">
        <x:v>299</x:v>
      </x:c>
      <x:c r="M516" s="2">
        <x:v>1</x:v>
      </x:c>
      <x:c r="N516" s="2" t="s">
        <x:v>79</x:v>
      </x:c>
      <x:c r="O516" s="5">
        <x:v>65.400000000000006</x:v>
      </x:c>
      <x:c r="P516" s="2">
        <x:v>321</x:v>
      </x:c>
      <x:c r="Q516" s="2" t="n">
        <x:f>IF(OR(J516="positive",J516="negative"),1,0)</x:f>
        <x:v>1</x:v>
      </x:c>
    </x:row>
    <x:row r="517" ht="15">
      <x:c r="A517" s="2" t="s">
        <x:v>48</x:v>
      </x:c>
      <x:c r="B517" s="2" t="s">
        <x:v>213</x:v>
      </x:c>
      <x:c r="C517" s="2">
        <x:v>4</x:v>
      </x:c>
      <x:c r="D517" s="2" t="s">
        <x:v>305</x:v>
      </x:c>
      <x:c r="E517" s="2" t="s">
        <x:v>306</x:v>
      </x:c>
      <x:c r="F517" s="7">
        <x:v>-4.1959999999999997E-2</x:v>
      </x:c>
      <x:c r="G517" s="2" t="s">
        <x:v>304</x:v>
      </x:c>
      <x:c r="H517" s="8">
        <x:v>0.3</x:v>
      </x:c>
      <x:c r="I517" s="9" t="n">
        <x:f t="shared" si="8">IFERROR(ABS(F517)/H517,"")</x:f>
        <x:v>0.13986666666666667</x:v>
      </x:c>
      <x:c r="J517" s="2" t="s">
        <x:v>298</x:v>
      </x:c>
      <x:c r="K517" s="8">
        <x:v>0.93606999999999996</x:v>
      </x:c>
      <x:c r="L517" s="2" t="s">
        <x:v>299</x:v>
      </x:c>
      <x:c r="M517" s="2">
        <x:v>1</x:v>
      </x:c>
      <x:c r="N517" s="2" t="s">
        <x:v>79</x:v>
      </x:c>
      <x:c r="O517" s="5">
        <x:v>65.400000000000006</x:v>
      </x:c>
      <x:c r="P517" s="2">
        <x:v>321</x:v>
      </x:c>
      <x:c r="Q517" s="2" t="n">
        <x:f>IF(OR(J517="positive",J517="negative"),1,0)</x:f>
        <x:v>1</x:v>
      </x:c>
    </x:row>
    <x:row r="518" ht="15">
      <x:c r="A518" s="2" t="s">
        <x:v>48</x:v>
      </x:c>
      <x:c r="B518" s="2" t="s">
        <x:v>214</x:v>
      </x:c>
      <x:c r="C518" s="2">
        <x:v>5</x:v>
      </x:c>
      <x:c r="D518" s="2" t="s">
        <x:v>295</x:v>
      </x:c>
      <x:c r="E518" s="2" t="s">
        <x:v>296</x:v>
      </x:c>
      <x:c r="F518" s="7">
        <x:v>0.24030000000000001</x:v>
      </x:c>
      <x:c r="G518" s="2" t="s">
        <x:v>297</x:v>
      </x:c>
      <x:c r="H518" s="8">
        <x:v>3.5</x:v>
      </x:c>
      <x:c r="I518" s="9" t="n">
        <x:f t="shared" si="8">IFERROR(ABS(F518)/H518,"")</x:f>
        <x:v>0.06865714285714286</x:v>
      </x:c>
      <x:c r="J518" s="2" t="s">
        <x:v>298</x:v>
      </x:c>
      <x:c r="K518" s="8">
        <x:v>0.97019999999999995</x:v>
      </x:c>
      <x:c r="L518" s="2" t="s">
        <x:v>299</x:v>
      </x:c>
      <x:c r="M518" s="2">
        <x:v>1</x:v>
      </x:c>
      <x:c r="N518" s="2" t="s">
        <x:v>79</x:v>
      </x:c>
      <x:c r="O518" s="5">
        <x:v>55.3</x:v>
      </x:c>
      <x:c r="P518" s="2">
        <x:v>367</x:v>
      </x:c>
      <x:c r="Q518" s="2" t="n">
        <x:f>IF(OR(J518="positive",J518="negative"),1,0)</x:f>
        <x:v>1</x:v>
      </x:c>
    </x:row>
    <x:row r="519" ht="15">
      <x:c r="A519" s="2" t="s">
        <x:v>48</x:v>
      </x:c>
      <x:c r="B519" s="2" t="s">
        <x:v>214</x:v>
      </x:c>
      <x:c r="C519" s="2">
        <x:v>5</x:v>
      </x:c>
      <x:c r="D519" s="2" t="s">
        <x:v>300</x:v>
      </x:c>
      <x:c r="E519" s="2" t="s">
        <x:v>301</x:v>
      </x:c>
      <x:c r="F519" s="7">
        <x:v>0.11693000000000001</x:v>
      </x:c>
      <x:c r="G519" s="2" t="s">
        <x:v>302</x:v>
      </x:c>
      <x:c r="H519" s="8">
        <x:v>0.45</x:v>
      </x:c>
      <x:c r="I519" s="9" t="n">
        <x:f t="shared" si="8">IFERROR(ABS(F519)/H519,"")</x:f>
        <x:v>0.25984444444444443</x:v>
      </x:c>
      <x:c r="J519" s="2" t="s">
        <x:v>298</x:v>
      </x:c>
      <x:c r="K519" s="8">
        <x:v>0.90549000000000002</x:v>
      </x:c>
      <x:c r="L519" s="2" t="s">
        <x:v>299</x:v>
      </x:c>
      <x:c r="M519" s="2">
        <x:v>1</x:v>
      </x:c>
      <x:c r="N519" s="2" t="s">
        <x:v>79</x:v>
      </x:c>
      <x:c r="O519" s="5">
        <x:v>55.3</x:v>
      </x:c>
      <x:c r="P519" s="2">
        <x:v>367</x:v>
      </x:c>
      <x:c r="Q519" s="2" t="n">
        <x:f>IF(OR(J519="positive",J519="negative"),1,0)</x:f>
        <x:v>1</x:v>
      </x:c>
    </x:row>
    <x:row r="520" ht="15">
      <x:c r="A520" s="2" t="s">
        <x:v>48</x:v>
      </x:c>
      <x:c r="B520" s="2" t="s">
        <x:v>214</x:v>
      </x:c>
      <x:c r="C520" s="2">
        <x:v>5</x:v>
      </x:c>
      <x:c r="D520" s="2" t="s">
        <x:v>18</x:v>
      </x:c>
      <x:c r="E520" s="2" t="s">
        <x:v>303</x:v>
      </x:c>
      <x:c r="F520" s="7">
        <x:v>-1.6400000000000001E-2</x:v>
      </x:c>
      <x:c r="G520" s="2" t="s">
        <x:v>304</x:v>
      </x:c>
      <x:c r="H520" s="8">
        <x:v>7.4999999999999997E-2</x:v>
      </x:c>
      <x:c r="I520" s="9" t="n">
        <x:f t="shared" si="8">IFERROR(ABS(F520)/H520,"")</x:f>
        <x:v>0.2186666666666667</x:v>
      </x:c>
      <x:c r="J520" s="2" t="s">
        <x:v>298</x:v>
      </x:c>
      <x:c r="K520" s="8">
        <x:v>0.96242000000000005</x:v>
      </x:c>
      <x:c r="L520" s="2" t="s">
        <x:v>299</x:v>
      </x:c>
      <x:c r="M520" s="2">
        <x:v>1</x:v>
      </x:c>
      <x:c r="N520" s="2" t="s">
        <x:v>79</x:v>
      </x:c>
      <x:c r="O520" s="5">
        <x:v>55.3</x:v>
      </x:c>
      <x:c r="P520" s="2">
        <x:v>367</x:v>
      </x:c>
      <x:c r="Q520" s="2" t="n">
        <x:f>IF(OR(J520="positive",J520="negative"),1,0)</x:f>
        <x:v>1</x:v>
      </x:c>
    </x:row>
    <x:row r="521" ht="15">
      <x:c r="A521" s="2" t="s">
        <x:v>48</x:v>
      </x:c>
      <x:c r="B521" s="2" t="s">
        <x:v>214</x:v>
      </x:c>
      <x:c r="C521" s="2">
        <x:v>5</x:v>
      </x:c>
      <x:c r="D521" s="2" t="s">
        <x:v>305</x:v>
      </x:c>
      <x:c r="E521" s="2" t="s">
        <x:v>306</x:v>
      </x:c>
      <x:c r="F521" s="7">
        <x:v>-8.0140000000000003E-2</x:v>
      </x:c>
      <x:c r="G521" s="2" t="s">
        <x:v>304</x:v>
      </x:c>
      <x:c r="H521" s="8">
        <x:v>0.3</x:v>
      </x:c>
      <x:c r="I521" s="9" t="n">
        <x:f t="shared" si="8">IFERROR(ABS(F521)/H521,"")</x:f>
        <x:v>0.26713333333333333</x:v>
      </x:c>
      <x:c r="J521" s="2" t="s">
        <x:v>298</x:v>
      </x:c>
      <x:c r="K521" s="8">
        <x:v>0.94218000000000002</x:v>
      </x:c>
      <x:c r="L521" s="2" t="s">
        <x:v>299</x:v>
      </x:c>
      <x:c r="M521" s="2">
        <x:v>1</x:v>
      </x:c>
      <x:c r="N521" s="2" t="s">
        <x:v>79</x:v>
      </x:c>
      <x:c r="O521" s="5">
        <x:v>55.3</x:v>
      </x:c>
      <x:c r="P521" s="2">
        <x:v>367</x:v>
      </x:c>
      <x:c r="Q521" s="2" t="n">
        <x:f>IF(OR(J521="positive",J521="negative"),1,0)</x:f>
        <x:v>1</x:v>
      </x:c>
    </x:row>
    <x:row r="522" ht="15">
      <x:c r="A522" s="2" t="s">
        <x:v>49</x:v>
      </x:c>
      <x:c r="B522" s="2" t="s">
        <x:v>215</x:v>
      </x:c>
      <x:c r="C522" s="2">
        <x:v>1</x:v>
      </x:c>
      <x:c r="D522" s="2" t="s">
        <x:v>295</x:v>
      </x:c>
      <x:c r="E522" s="2" t="s">
        <x:v>296</x:v>
      </x:c>
      <x:c r="F522" s="7">
        <x:v>0.41499999999999998</x:v>
      </x:c>
      <x:c r="G522" s="2" t="s">
        <x:v>297</x:v>
      </x:c>
      <x:c r="H522" s="8">
        <x:v>3.5</x:v>
      </x:c>
      <x:c r="I522" s="9" t="n">
        <x:f t="shared" si="8">IFERROR(ABS(F522)/H522,"")</x:f>
        <x:v>0.11857142857142856</x:v>
      </x:c>
      <x:c r="J522" s="2" t="s">
        <x:v>298</x:v>
      </x:c>
      <x:c r="K522" s="8">
        <x:v>0.97148999999999996</x:v>
      </x:c>
      <x:c r="L522" s="2" t="s">
        <x:v>299</x:v>
      </x:c>
      <x:c r="M522" s="2">
        <x:v>1</x:v>
      </x:c>
      <x:c r="N522" s="2" t="s">
        <x:v>79</x:v>
      </x:c>
      <x:c r="O522" s="5">
        <x:v>60.8</x:v>
      </x:c>
      <x:c r="P522" s="2">
        <x:v>268</x:v>
      </x:c>
      <x:c r="Q522" s="2" t="n">
        <x:f>IF(OR(J522="positive",J522="negative"),1,0)</x:f>
        <x:v>1</x:v>
      </x:c>
    </x:row>
    <x:row r="523" ht="15">
      <x:c r="A523" s="2" t="s">
        <x:v>49</x:v>
      </x:c>
      <x:c r="B523" s="2" t="s">
        <x:v>215</x:v>
      </x:c>
      <x:c r="C523" s="2">
        <x:v>1</x:v>
      </x:c>
      <x:c r="D523" s="2" t="s">
        <x:v>300</x:v>
      </x:c>
      <x:c r="E523" s="2" t="s">
        <x:v>301</x:v>
      </x:c>
      <x:c r="F523" s="7">
        <x:v>6.9930000000000006E-2</x:v>
      </x:c>
      <x:c r="G523" s="2" t="s">
        <x:v>302</x:v>
      </x:c>
      <x:c r="H523" s="8">
        <x:v>0.45</x:v>
      </x:c>
      <x:c r="I523" s="9" t="n">
        <x:f t="shared" si="8">IFERROR(ABS(F523)/H523,"")</x:f>
        <x:v>0.1554</x:v>
      </x:c>
      <x:c r="J523" s="2" t="s">
        <x:v>307</x:v>
      </x:c>
      <x:c r="K523" s="8">
        <x:v>0.33016000000000001</x:v>
      </x:c>
      <x:c r="L523" s="2" t="s">
        <x:v>312</x:v>
      </x:c>
      <x:c r="M523" s="2">
        <x:v>1</x:v>
      </x:c>
      <x:c r="N523" s="2" t="s">
        <x:v>79</x:v>
      </x:c>
      <x:c r="O523" s="5">
        <x:v>60.8</x:v>
      </x:c>
      <x:c r="P523" s="2">
        <x:v>268</x:v>
      </x:c>
      <x:c r="Q523" s="2" t="n">
        <x:f>IF(OR(J523="positive",J523="negative"),1,0)</x:f>
        <x:v>0</x:v>
      </x:c>
    </x:row>
    <x:row r="524" ht="15">
      <x:c r="A524" s="2" t="s">
        <x:v>49</x:v>
      </x:c>
      <x:c r="B524" s="2" t="s">
        <x:v>215</x:v>
      </x:c>
      <x:c r="C524" s="2">
        <x:v>1</x:v>
      </x:c>
      <x:c r="D524" s="2" t="s">
        <x:v>18</x:v>
      </x:c>
      <x:c r="E524" s="2" t="s">
        <x:v>303</x:v>
      </x:c>
      <x:c r="F524" s="7">
        <x:v>-3.4399999999999999E-3</x:v>
      </x:c>
      <x:c r="G524" s="2" t="s">
        <x:v>304</x:v>
      </x:c>
      <x:c r="H524" s="8">
        <x:v>7.4999999999999997E-2</x:v>
      </x:c>
      <x:c r="I524" s="9" t="n">
        <x:f t="shared" si="8">IFERROR(ABS(F524)/H524,"")</x:f>
        <x:v>0.04586666666666667</x:v>
      </x:c>
      <x:c r="J524" s="2" t="s">
        <x:v>298</x:v>
      </x:c>
      <x:c r="K524" s="8">
        <x:v>0.91337000000000002</x:v>
      </x:c>
      <x:c r="L524" s="2" t="s">
        <x:v>299</x:v>
      </x:c>
      <x:c r="M524" s="2">
        <x:v>1</x:v>
      </x:c>
      <x:c r="N524" s="2" t="s">
        <x:v>79</x:v>
      </x:c>
      <x:c r="O524" s="5">
        <x:v>60.8</x:v>
      </x:c>
      <x:c r="P524" s="2">
        <x:v>268</x:v>
      </x:c>
      <x:c r="Q524" s="2" t="n">
        <x:f>IF(OR(J524="positive",J524="negative"),1,0)</x:f>
        <x:v>1</x:v>
      </x:c>
    </x:row>
    <x:row r="525" ht="15">
      <x:c r="A525" s="2" t="s">
        <x:v>49</x:v>
      </x:c>
      <x:c r="B525" s="2" t="s">
        <x:v>215</x:v>
      </x:c>
      <x:c r="C525" s="2">
        <x:v>1</x:v>
      </x:c>
      <x:c r="D525" s="2" t="s">
        <x:v>305</x:v>
      </x:c>
      <x:c r="E525" s="2" t="s">
        <x:v>306</x:v>
      </x:c>
      <x:c r="F525" s="7">
        <x:v>0.10294</x:v>
      </x:c>
      <x:c r="G525" s="2" t="s">
        <x:v>304</x:v>
      </x:c>
      <x:c r="H525" s="8">
        <x:v>0.3</x:v>
      </x:c>
      <x:c r="I525" s="9" t="n">
        <x:f t="shared" si="8">IFERROR(ABS(F525)/H525,"")</x:f>
        <x:v>0.34313333333333335</x:v>
      </x:c>
      <x:c r="J525" s="2" t="s">
        <x:v>298</x:v>
      </x:c>
      <x:c r="K525" s="8">
        <x:v>0.98960999999999999</x:v>
      </x:c>
      <x:c r="L525" s="2" t="s">
        <x:v>299</x:v>
      </x:c>
      <x:c r="M525" s="2">
        <x:v>1</x:v>
      </x:c>
      <x:c r="N525" s="2" t="s">
        <x:v>79</x:v>
      </x:c>
      <x:c r="O525" s="5">
        <x:v>60.8</x:v>
      </x:c>
      <x:c r="P525" s="2">
        <x:v>268</x:v>
      </x:c>
      <x:c r="Q525" s="2" t="n">
        <x:f>IF(OR(J525="positive",J525="negative"),1,0)</x:f>
        <x:v>1</x:v>
      </x:c>
    </x:row>
    <x:row r="526" ht="15">
      <x:c r="A526" s="2" t="s">
        <x:v>49</x:v>
      </x:c>
      <x:c r="B526" s="2" t="s">
        <x:v>216</x:v>
      </x:c>
      <x:c r="C526" s="2">
        <x:v>2</x:v>
      </x:c>
      <x:c r="D526" s="2" t="s">
        <x:v>295</x:v>
      </x:c>
      <x:c r="E526" s="2" t="s">
        <x:v>296</x:v>
      </x:c>
      <x:c r="F526" s="7">
        <x:v>0.58874000000000004</x:v>
      </x:c>
      <x:c r="G526" s="2" t="s">
        <x:v>297</x:v>
      </x:c>
      <x:c r="H526" s="8">
        <x:v>3.5</x:v>
      </x:c>
      <x:c r="I526" s="9" t="n">
        <x:f t="shared" si="8">IFERROR(ABS(F526)/H526,"")</x:f>
        <x:v>0.1682114285714286</x:v>
      </x:c>
      <x:c r="J526" s="2" t="s">
        <x:v>298</x:v>
      </x:c>
      <x:c r="K526" s="8">
        <x:v>0.93684999999999996</x:v>
      </x:c>
      <x:c r="L526" s="2" t="s">
        <x:v>299</x:v>
      </x:c>
      <x:c r="M526" s="2">
        <x:v>1</x:v>
      </x:c>
      <x:c r="N526" s="2" t="s">
        <x:v>79</x:v>
      </x:c>
      <x:c r="O526" s="5">
        <x:v>64.2</x:v>
      </x:c>
      <x:c r="P526" s="2">
        <x:v>486</x:v>
      </x:c>
      <x:c r="Q526" s="2" t="n">
        <x:f>IF(OR(J526="positive",J526="negative"),1,0)</x:f>
        <x:v>1</x:v>
      </x:c>
    </x:row>
    <x:row r="527" ht="15">
      <x:c r="A527" s="2" t="s">
        <x:v>49</x:v>
      </x:c>
      <x:c r="B527" s="2" t="s">
        <x:v>216</x:v>
      </x:c>
      <x:c r="C527" s="2">
        <x:v>2</x:v>
      </x:c>
      <x:c r="D527" s="2" t="s">
        <x:v>300</x:v>
      </x:c>
      <x:c r="E527" s="2" t="s">
        <x:v>301</x:v>
      </x:c>
      <x:c r="F527" s="7">
        <x:v>3.1699999999999999E-2</x:v>
      </x:c>
      <x:c r="G527" s="2" t="s">
        <x:v>302</x:v>
      </x:c>
      <x:c r="H527" s="8">
        <x:v>0.45</x:v>
      </x:c>
      <x:c r="I527" s="9" t="n">
        <x:f t="shared" si="8">IFERROR(ABS(F527)/H527,"")</x:f>
        <x:v>0.07044444444444443</x:v>
      </x:c>
      <x:c r="J527" s="2" t="s">
        <x:v>298</x:v>
      </x:c>
      <x:c r="K527" s="8">
        <x:v>0.93389999999999995</x:v>
      </x:c>
      <x:c r="L527" s="2" t="s">
        <x:v>299</x:v>
      </x:c>
      <x:c r="M527" s="2">
        <x:v>1</x:v>
      </x:c>
      <x:c r="N527" s="2" t="s">
        <x:v>79</x:v>
      </x:c>
      <x:c r="O527" s="5">
        <x:v>64.2</x:v>
      </x:c>
      <x:c r="P527" s="2">
        <x:v>486</x:v>
      </x:c>
      <x:c r="Q527" s="2" t="n">
        <x:f>IF(OR(J527="positive",J527="negative"),1,0)</x:f>
        <x:v>1</x:v>
      </x:c>
    </x:row>
    <x:row r="528" ht="15">
      <x:c r="A528" s="2" t="s">
        <x:v>49</x:v>
      </x:c>
      <x:c r="B528" s="2" t="s">
        <x:v>216</x:v>
      </x:c>
      <x:c r="C528" s="2">
        <x:v>2</x:v>
      </x:c>
      <x:c r="D528" s="2" t="s">
        <x:v>18</x:v>
      </x:c>
      <x:c r="E528" s="2" t="s">
        <x:v>303</x:v>
      </x:c>
      <x:c r="F528" s="7">
        <x:v>-1.2540000000000001E-2</x:v>
      </x:c>
      <x:c r="G528" s="2" t="s">
        <x:v>304</x:v>
      </x:c>
      <x:c r="H528" s="8">
        <x:v>7.4999999999999997E-2</x:v>
      </x:c>
      <x:c r="I528" s="9" t="n">
        <x:f t="shared" si="8">IFERROR(ABS(F528)/H528,"")</x:f>
        <x:v>0.16720000000000002</x:v>
      </x:c>
      <x:c r="J528" s="2" t="s">
        <x:v>298</x:v>
      </x:c>
      <x:c r="K528" s="8">
        <x:v>0.92644000000000004</x:v>
      </x:c>
      <x:c r="L528" s="2" t="s">
        <x:v>299</x:v>
      </x:c>
      <x:c r="M528" s="2">
        <x:v>1</x:v>
      </x:c>
      <x:c r="N528" s="2" t="s">
        <x:v>79</x:v>
      </x:c>
      <x:c r="O528" s="5">
        <x:v>64.2</x:v>
      </x:c>
      <x:c r="P528" s="2">
        <x:v>486</x:v>
      </x:c>
      <x:c r="Q528" s="2" t="n">
        <x:f>IF(OR(J528="positive",J528="negative"),1,0)</x:f>
        <x:v>1</x:v>
      </x:c>
    </x:row>
    <x:row r="529" ht="15">
      <x:c r="A529" s="2" t="s">
        <x:v>49</x:v>
      </x:c>
      <x:c r="B529" s="2" t="s">
        <x:v>216</x:v>
      </x:c>
      <x:c r="C529" s="2">
        <x:v>2</x:v>
      </x:c>
      <x:c r="D529" s="2" t="s">
        <x:v>305</x:v>
      </x:c>
      <x:c r="E529" s="2" t="s">
        <x:v>306</x:v>
      </x:c>
      <x:c r="F529" s="7">
        <x:v>0.11067</x:v>
      </x:c>
      <x:c r="G529" s="2" t="s">
        <x:v>304</x:v>
      </x:c>
      <x:c r="H529" s="8">
        <x:v>0.3</x:v>
      </x:c>
      <x:c r="I529" s="9" t="n">
        <x:f t="shared" si="8">IFERROR(ABS(F529)/H529,"")</x:f>
        <x:v>0.3689</x:v>
      </x:c>
      <x:c r="J529" s="2" t="s">
        <x:v>298</x:v>
      </x:c>
      <x:c r="K529" s="8">
        <x:v>0.93964999999999999</x:v>
      </x:c>
      <x:c r="L529" s="2" t="s">
        <x:v>299</x:v>
      </x:c>
      <x:c r="M529" s="2">
        <x:v>1</x:v>
      </x:c>
      <x:c r="N529" s="2" t="s">
        <x:v>79</x:v>
      </x:c>
      <x:c r="O529" s="5">
        <x:v>64.2</x:v>
      </x:c>
      <x:c r="P529" s="2">
        <x:v>486</x:v>
      </x:c>
      <x:c r="Q529" s="2" t="n">
        <x:f>IF(OR(J529="positive",J529="negative"),1,0)</x:f>
        <x:v>1</x:v>
      </x:c>
    </x:row>
    <x:row r="530" ht="15">
      <x:c r="A530" s="2" t="s">
        <x:v>49</x:v>
      </x:c>
      <x:c r="B530" s="2" t="s">
        <x:v>217</x:v>
      </x:c>
      <x:c r="C530" s="2">
        <x:v>3</x:v>
      </x:c>
      <x:c r="D530" s="2" t="s">
        <x:v>295</x:v>
      </x:c>
      <x:c r="E530" s="2" t="s">
        <x:v>296</x:v>
      </x:c>
      <x:c r="F530" s="7">
        <x:v>0.37513999999999997</x:v>
      </x:c>
      <x:c r="G530" s="2" t="s">
        <x:v>297</x:v>
      </x:c>
      <x:c r="H530" s="8">
        <x:v>3.5</x:v>
      </x:c>
      <x:c r="I530" s="9" t="n">
        <x:f t="shared" si="8">IFERROR(ABS(F530)/H530,"")</x:f>
        <x:v>0.10718285714285714</x:v>
      </x:c>
      <x:c r="J530" s="2" t="s">
        <x:v>298</x:v>
      </x:c>
      <x:c r="K530" s="8">
        <x:v>0.94625000000000004</x:v>
      </x:c>
      <x:c r="L530" s="2" t="s">
        <x:v>299</x:v>
      </x:c>
      <x:c r="M530" s="2">
        <x:v>1</x:v>
      </x:c>
      <x:c r="N530" s="2" t="s">
        <x:v>79</x:v>
      </x:c>
      <x:c r="O530" s="5">
        <x:v>61.6</x:v>
      </x:c>
      <x:c r="P530" s="2">
        <x:v>450</x:v>
      </x:c>
      <x:c r="Q530" s="2" t="n">
        <x:f>IF(OR(J530="positive",J530="negative"),1,0)</x:f>
        <x:v>1</x:v>
      </x:c>
    </x:row>
    <x:row r="531" ht="15">
      <x:c r="A531" s="2" t="s">
        <x:v>49</x:v>
      </x:c>
      <x:c r="B531" s="2" t="s">
        <x:v>217</x:v>
      </x:c>
      <x:c r="C531" s="2">
        <x:v>3</x:v>
      </x:c>
      <x:c r="D531" s="2" t="s">
        <x:v>300</x:v>
      </x:c>
      <x:c r="E531" s="2" t="s">
        <x:v>301</x:v>
      </x:c>
      <x:c r="F531" s="7">
        <x:v>4.4900000000000002E-2</x:v>
      </x:c>
      <x:c r="G531" s="2" t="s">
        <x:v>302</x:v>
      </x:c>
      <x:c r="H531" s="8">
        <x:v>0.45</x:v>
      </x:c>
      <x:c r="I531" s="9" t="n">
        <x:f t="shared" si="8">IFERROR(ABS(F531)/H531,"")</x:f>
        <x:v>0.09977777777777778</x:v>
      </x:c>
      <x:c r="J531" s="2" t="s">
        <x:v>298</x:v>
      </x:c>
      <x:c r="K531" s="8">
        <x:v>0.91400000000000003</x:v>
      </x:c>
      <x:c r="L531" s="2" t="s">
        <x:v>299</x:v>
      </x:c>
      <x:c r="M531" s="2">
        <x:v>1</x:v>
      </x:c>
      <x:c r="N531" s="2" t="s">
        <x:v>79</x:v>
      </x:c>
      <x:c r="O531" s="5">
        <x:v>61.6</x:v>
      </x:c>
      <x:c r="P531" s="2">
        <x:v>450</x:v>
      </x:c>
      <x:c r="Q531" s="2" t="n">
        <x:f>IF(OR(J531="positive",J531="negative"),1,0)</x:f>
        <x:v>1</x:v>
      </x:c>
    </x:row>
    <x:row r="532" ht="15">
      <x:c r="A532" s="2" t="s">
        <x:v>49</x:v>
      </x:c>
      <x:c r="B532" s="2" t="s">
        <x:v>217</x:v>
      </x:c>
      <x:c r="C532" s="2">
        <x:v>3</x:v>
      </x:c>
      <x:c r="D532" s="2" t="s">
        <x:v>18</x:v>
      </x:c>
      <x:c r="E532" s="2" t="s">
        <x:v>303</x:v>
      </x:c>
      <x:c r="F532" s="7">
        <x:v>-1.328E-2</x:v>
      </x:c>
      <x:c r="G532" s="2" t="s">
        <x:v>304</x:v>
      </x:c>
      <x:c r="H532" s="8">
        <x:v>7.4999999999999997E-2</x:v>
      </x:c>
      <x:c r="I532" s="9" t="n">
        <x:f t="shared" si="8">IFERROR(ABS(F532)/H532,"")</x:f>
        <x:v>0.17706666666666668</x:v>
      </x:c>
      <x:c r="J532" s="2" t="s">
        <x:v>298</x:v>
      </x:c>
      <x:c r="K532" s="8">
        <x:v>0.92634000000000005</x:v>
      </x:c>
      <x:c r="L532" s="2" t="s">
        <x:v>299</x:v>
      </x:c>
      <x:c r="M532" s="2">
        <x:v>1</x:v>
      </x:c>
      <x:c r="N532" s="2" t="s">
        <x:v>79</x:v>
      </x:c>
      <x:c r="O532" s="5">
        <x:v>61.6</x:v>
      </x:c>
      <x:c r="P532" s="2">
        <x:v>450</x:v>
      </x:c>
      <x:c r="Q532" s="2" t="n">
        <x:f>IF(OR(J532="positive",J532="negative"),1,0)</x:f>
        <x:v>1</x:v>
      </x:c>
    </x:row>
    <x:row r="533" ht="15">
      <x:c r="A533" s="2" t="s">
        <x:v>49</x:v>
      </x:c>
      <x:c r="B533" s="2" t="s">
        <x:v>217</x:v>
      </x:c>
      <x:c r="C533" s="2">
        <x:v>3</x:v>
      </x:c>
      <x:c r="D533" s="2" t="s">
        <x:v>305</x:v>
      </x:c>
      <x:c r="E533" s="2" t="s">
        <x:v>306</x:v>
      </x:c>
      <x:c r="F533" s="7">
        <x:v>0.1053</x:v>
      </x:c>
      <x:c r="G533" s="2" t="s">
        <x:v>304</x:v>
      </x:c>
      <x:c r="H533" s="8">
        <x:v>0.3</x:v>
      </x:c>
      <x:c r="I533" s="9" t="n">
        <x:f t="shared" si="8">IFERROR(ABS(F533)/H533,"")</x:f>
        <x:v>0.35100000000000003</x:v>
      </x:c>
      <x:c r="J533" s="2" t="s">
        <x:v>298</x:v>
      </x:c>
      <x:c r="K533" s="8">
        <x:v>0.97065000000000001</x:v>
      </x:c>
      <x:c r="L533" s="2" t="s">
        <x:v>299</x:v>
      </x:c>
      <x:c r="M533" s="2">
        <x:v>1</x:v>
      </x:c>
      <x:c r="N533" s="2" t="s">
        <x:v>79</x:v>
      </x:c>
      <x:c r="O533" s="5">
        <x:v>61.6</x:v>
      </x:c>
      <x:c r="P533" s="2">
        <x:v>450</x:v>
      </x:c>
      <x:c r="Q533" s="2" t="n">
        <x:f>IF(OR(J533="positive",J533="negative"),1,0)</x:f>
        <x:v>1</x:v>
      </x:c>
    </x:row>
    <x:row r="534" ht="15">
      <x:c r="A534" s="2" t="s">
        <x:v>49</x:v>
      </x:c>
      <x:c r="B534" s="2" t="s">
        <x:v>218</x:v>
      </x:c>
      <x:c r="C534" s="2">
        <x:v>4</x:v>
      </x:c>
      <x:c r="D534" s="2" t="s">
        <x:v>295</x:v>
      </x:c>
      <x:c r="E534" s="2" t="s">
        <x:v>296</x:v>
      </x:c>
      <x:c r="F534" s="7">
        <x:v>0.31034</x:v>
      </x:c>
      <x:c r="G534" s="2" t="s">
        <x:v>297</x:v>
      </x:c>
      <x:c r="H534" s="8">
        <x:v>3.5</x:v>
      </x:c>
      <x:c r="I534" s="9" t="n">
        <x:f t="shared" si="8">IFERROR(ABS(F534)/H534,"")</x:f>
        <x:v>0.08866857142857143</x:v>
      </x:c>
      <x:c r="J534" s="2" t="s">
        <x:v>298</x:v>
      </x:c>
      <x:c r="K534" s="8">
        <x:v>0.95938000000000001</x:v>
      </x:c>
      <x:c r="L534" s="2" t="s">
        <x:v>299</x:v>
      </x:c>
      <x:c r="M534" s="2">
        <x:v>1</x:v>
      </x:c>
      <x:c r="N534" s="2" t="s">
        <x:v>79</x:v>
      </x:c>
      <x:c r="O534" s="5">
        <x:v>58.8</x:v>
      </x:c>
      <x:c r="P534" s="2">
        <x:v>386</x:v>
      </x:c>
      <x:c r="Q534" s="2" t="n">
        <x:f>IF(OR(J534="positive",J534="negative"),1,0)</x:f>
        <x:v>1</x:v>
      </x:c>
    </x:row>
    <x:row r="535" ht="15">
      <x:c r="A535" s="2" t="s">
        <x:v>49</x:v>
      </x:c>
      <x:c r="B535" s="2" t="s">
        <x:v>218</x:v>
      </x:c>
      <x:c r="C535" s="2">
        <x:v>4</x:v>
      </x:c>
      <x:c r="D535" s="2" t="s">
        <x:v>300</x:v>
      </x:c>
      <x:c r="E535" s="2" t="s">
        <x:v>301</x:v>
      </x:c>
      <x:c r="F535" s="7">
        <x:v>0.05</x:v>
      </x:c>
      <x:c r="G535" s="2" t="s">
        <x:v>302</x:v>
      </x:c>
      <x:c r="H535" s="8">
        <x:v>0.45</x:v>
      </x:c>
      <x:c r="I535" s="9" t="n">
        <x:f t="shared" si="8">IFERROR(ABS(F535)/H535,"")</x:f>
        <x:v>0.11111111111111112</x:v>
      </x:c>
      <x:c r="J535" s="2" t="s">
        <x:v>298</x:v>
      </x:c>
      <x:c r="K535" s="8">
        <x:v>0.89471000000000001</x:v>
      </x:c>
      <x:c r="L535" s="2" t="s">
        <x:v>299</x:v>
      </x:c>
      <x:c r="M535" s="2">
        <x:v>1</x:v>
      </x:c>
      <x:c r="N535" s="2" t="s">
        <x:v>79</x:v>
      </x:c>
      <x:c r="O535" s="5">
        <x:v>58.8</x:v>
      </x:c>
      <x:c r="P535" s="2">
        <x:v>386</x:v>
      </x:c>
      <x:c r="Q535" s="2" t="n">
        <x:f>IF(OR(J535="positive",J535="negative"),1,0)</x:f>
        <x:v>1</x:v>
      </x:c>
    </x:row>
    <x:row r="536" ht="15">
      <x:c r="A536" s="2" t="s">
        <x:v>49</x:v>
      </x:c>
      <x:c r="B536" s="2" t="s">
        <x:v>218</x:v>
      </x:c>
      <x:c r="C536" s="2">
        <x:v>4</x:v>
      </x:c>
      <x:c r="D536" s="2" t="s">
        <x:v>18</x:v>
      </x:c>
      <x:c r="E536" s="2" t="s">
        <x:v>303</x:v>
      </x:c>
      <x:c r="F536" s="7">
        <x:v>-1.92E-3</x:v>
      </x:c>
      <x:c r="G536" s="2" t="s">
        <x:v>304</x:v>
      </x:c>
      <x:c r="H536" s="8">
        <x:v>7.4999999999999997E-2</x:v>
      </x:c>
      <x:c r="I536" s="9" t="n">
        <x:f t="shared" si="8">IFERROR(ABS(F536)/H536,"")</x:f>
        <x:v>0.0256</x:v>
      </x:c>
      <x:c r="J536" s="2" t="s">
        <x:v>298</x:v>
      </x:c>
      <x:c r="K536" s="8">
        <x:v>0.93332000000000004</x:v>
      </x:c>
      <x:c r="L536" s="2" t="s">
        <x:v>299</x:v>
      </x:c>
      <x:c r="M536" s="2">
        <x:v>1</x:v>
      </x:c>
      <x:c r="N536" s="2" t="s">
        <x:v>79</x:v>
      </x:c>
      <x:c r="O536" s="5">
        <x:v>58.8</x:v>
      </x:c>
      <x:c r="P536" s="2">
        <x:v>386</x:v>
      </x:c>
      <x:c r="Q536" s="2" t="n">
        <x:f>IF(OR(J536="positive",J536="negative"),1,0)</x:f>
        <x:v>1</x:v>
      </x:c>
    </x:row>
    <x:row r="537" ht="15">
      <x:c r="A537" s="2" t="s">
        <x:v>49</x:v>
      </x:c>
      <x:c r="B537" s="2" t="s">
        <x:v>218</x:v>
      </x:c>
      <x:c r="C537" s="2">
        <x:v>4</x:v>
      </x:c>
      <x:c r="D537" s="2" t="s">
        <x:v>305</x:v>
      </x:c>
      <x:c r="E537" s="2" t="s">
        <x:v>306</x:v>
      </x:c>
      <x:c r="F537" s="7">
        <x:v>5.382E-2</x:v>
      </x:c>
      <x:c r="G537" s="2" t="s">
        <x:v>304</x:v>
      </x:c>
      <x:c r="H537" s="8">
        <x:v>0.3</x:v>
      </x:c>
      <x:c r="I537" s="9" t="n">
        <x:f t="shared" si="8">IFERROR(ABS(F537)/H537,"")</x:f>
        <x:v>0.1794</x:v>
      </x:c>
      <x:c r="J537" s="2" t="s">
        <x:v>298</x:v>
      </x:c>
      <x:c r="K537" s="8">
        <x:v>0.95681000000000005</x:v>
      </x:c>
      <x:c r="L537" s="2" t="s">
        <x:v>299</x:v>
      </x:c>
      <x:c r="M537" s="2">
        <x:v>1</x:v>
      </x:c>
      <x:c r="N537" s="2" t="s">
        <x:v>79</x:v>
      </x:c>
      <x:c r="O537" s="5">
        <x:v>58.8</x:v>
      </x:c>
      <x:c r="P537" s="2">
        <x:v>386</x:v>
      </x:c>
      <x:c r="Q537" s="2" t="n">
        <x:f>IF(OR(J537="positive",J537="negative"),1,0)</x:f>
        <x:v>1</x:v>
      </x:c>
    </x:row>
    <x:row r="538" ht="15">
      <x:c r="A538" s="2" t="s">
        <x:v>49</x:v>
      </x:c>
      <x:c r="B538" s="2" t="s">
        <x:v>219</x:v>
      </x:c>
      <x:c r="C538" s="2">
        <x:v>5</x:v>
      </x:c>
      <x:c r="D538" s="2" t="s">
        <x:v>295</x:v>
      </x:c>
      <x:c r="E538" s="2" t="s">
        <x:v>296</x:v>
      </x:c>
      <x:c r="F538" s="7">
        <x:v>0.12961</x:v>
      </x:c>
      <x:c r="G538" s="2" t="s">
        <x:v>297</x:v>
      </x:c>
      <x:c r="H538" s="8">
        <x:v>3.5</x:v>
      </x:c>
      <x:c r="I538" s="9" t="n">
        <x:f t="shared" si="8">IFERROR(ABS(F538)/H538,"")</x:f>
        <x:v>0.03703142857142857</x:v>
      </x:c>
      <x:c r="J538" s="2" t="s">
        <x:v>298</x:v>
      </x:c>
      <x:c r="K538" s="8">
        <x:v>0.96986000000000006</x:v>
      </x:c>
      <x:c r="L538" s="2" t="s">
        <x:v>299</x:v>
      </x:c>
      <x:c r="M538" s="2">
        <x:v>1</x:v>
      </x:c>
      <x:c r="N538" s="2" t="s">
        <x:v>79</x:v>
      </x:c>
      <x:c r="O538" s="5">
        <x:v>63.2</x:v>
      </x:c>
      <x:c r="P538" s="2">
        <x:v>562</x:v>
      </x:c>
      <x:c r="Q538" s="2" t="n">
        <x:f>IF(OR(J538="positive",J538="negative"),1,0)</x:f>
        <x:v>1</x:v>
      </x:c>
    </x:row>
    <x:row r="539" ht="15">
      <x:c r="A539" s="2" t="s">
        <x:v>49</x:v>
      </x:c>
      <x:c r="B539" s="2" t="s">
        <x:v>219</x:v>
      </x:c>
      <x:c r="C539" s="2">
        <x:v>5</x:v>
      </x:c>
      <x:c r="D539" s="2" t="s">
        <x:v>300</x:v>
      </x:c>
      <x:c r="E539" s="2" t="s">
        <x:v>301</x:v>
      </x:c>
      <x:c r="F539" s="7">
        <x:v>3.533E-2</x:v>
      </x:c>
      <x:c r="G539" s="2" t="s">
        <x:v>302</x:v>
      </x:c>
      <x:c r="H539" s="8">
        <x:v>0.45</x:v>
      </x:c>
      <x:c r="I539" s="9" t="n">
        <x:f t="shared" si="8">IFERROR(ABS(F539)/H539,"")</x:f>
        <x:v>0.07851111111111111</x:v>
      </x:c>
      <x:c r="J539" s="2" t="s">
        <x:v>298</x:v>
      </x:c>
      <x:c r="K539" s="8">
        <x:v>0.91213</x:v>
      </x:c>
      <x:c r="L539" s="2" t="s">
        <x:v>299</x:v>
      </x:c>
      <x:c r="M539" s="2">
        <x:v>1</x:v>
      </x:c>
      <x:c r="N539" s="2" t="s">
        <x:v>79</x:v>
      </x:c>
      <x:c r="O539" s="5">
        <x:v>63.2</x:v>
      </x:c>
      <x:c r="P539" s="2">
        <x:v>562</x:v>
      </x:c>
      <x:c r="Q539" s="2" t="n">
        <x:f>IF(OR(J539="positive",J539="negative"),1,0)</x:f>
        <x:v>1</x:v>
      </x:c>
    </x:row>
    <x:row r="540" ht="15">
      <x:c r="A540" s="2" t="s">
        <x:v>49</x:v>
      </x:c>
      <x:c r="B540" s="2" t="s">
        <x:v>219</x:v>
      </x:c>
      <x:c r="C540" s="2">
        <x:v>5</x:v>
      </x:c>
      <x:c r="D540" s="2" t="s">
        <x:v>18</x:v>
      </x:c>
      <x:c r="E540" s="2" t="s">
        <x:v>303</x:v>
      </x:c>
      <x:c r="F540" s="7">
        <x:v>-9.6699999999999998E-3</x:v>
      </x:c>
      <x:c r="G540" s="2" t="s">
        <x:v>304</x:v>
      </x:c>
      <x:c r="H540" s="8">
        <x:v>7.4999999999999997E-2</x:v>
      </x:c>
      <x:c r="I540" s="9" t="n">
        <x:f t="shared" si="8">IFERROR(ABS(F540)/H540,"")</x:f>
        <x:v>0.12893333333333334</x:v>
      </x:c>
      <x:c r="J540" s="2" t="s">
        <x:v>298</x:v>
      </x:c>
      <x:c r="K540" s="8">
        <x:v>0.92666999999999999</x:v>
      </x:c>
      <x:c r="L540" s="2" t="s">
        <x:v>299</x:v>
      </x:c>
      <x:c r="M540" s="2">
        <x:v>1</x:v>
      </x:c>
      <x:c r="N540" s="2" t="s">
        <x:v>79</x:v>
      </x:c>
      <x:c r="O540" s="5">
        <x:v>63.2</x:v>
      </x:c>
      <x:c r="P540" s="2">
        <x:v>562</x:v>
      </x:c>
      <x:c r="Q540" s="2" t="n">
        <x:f>IF(OR(J540="positive",J540="negative"),1,0)</x:f>
        <x:v>1</x:v>
      </x:c>
    </x:row>
    <x:row r="541" ht="15">
      <x:c r="A541" s="2" t="s">
        <x:v>49</x:v>
      </x:c>
      <x:c r="B541" s="2" t="s">
        <x:v>219</x:v>
      </x:c>
      <x:c r="C541" s="2">
        <x:v>5</x:v>
      </x:c>
      <x:c r="D541" s="2" t="s">
        <x:v>305</x:v>
      </x:c>
      <x:c r="E541" s="2" t="s">
        <x:v>306</x:v>
      </x:c>
      <x:c r="F541" s="7">
        <x:v>8.7599999999999997E-2</x:v>
      </x:c>
      <x:c r="G541" s="2" t="s">
        <x:v>304</x:v>
      </x:c>
      <x:c r="H541" s="8">
        <x:v>0.3</x:v>
      </x:c>
      <x:c r="I541" s="9" t="n">
        <x:f t="shared" si="8">IFERROR(ABS(F541)/H541,"")</x:f>
        <x:v>0.292</x:v>
      </x:c>
      <x:c r="J541" s="2" t="s">
        <x:v>298</x:v>
      </x:c>
      <x:c r="K541" s="8">
        <x:v>0.93828</x:v>
      </x:c>
      <x:c r="L541" s="2" t="s">
        <x:v>299</x:v>
      </x:c>
      <x:c r="M541" s="2">
        <x:v>1</x:v>
      </x:c>
      <x:c r="N541" s="2" t="s">
        <x:v>79</x:v>
      </x:c>
      <x:c r="O541" s="5">
        <x:v>63.2</x:v>
      </x:c>
      <x:c r="P541" s="2">
        <x:v>562</x:v>
      </x:c>
      <x:c r="Q541" s="2" t="n">
        <x:f>IF(OR(J541="positive",J541="negative"),1,0)</x:f>
        <x:v>1</x:v>
      </x:c>
    </x:row>
    <x:row r="542" ht="15">
      <x:c r="A542" s="2" t="s">
        <x:v>50</x:v>
      </x:c>
      <x:c r="B542" s="2" t="s">
        <x:v>220</x:v>
      </x:c>
      <x:c r="C542" s="2">
        <x:v>1</x:v>
      </x:c>
      <x:c r="D542" s="2" t="s">
        <x:v>295</x:v>
      </x:c>
      <x:c r="E542" s="2" t="s">
        <x:v>296</x:v>
      </x:c>
      <x:c r="F542" s="7">
        <x:v>0.36237000000000003</x:v>
      </x:c>
      <x:c r="G542" s="2" t="s">
        <x:v>297</x:v>
      </x:c>
      <x:c r="H542" s="8">
        <x:v>3.5</x:v>
      </x:c>
      <x:c r="I542" s="9" t="n">
        <x:f t="shared" si="8">IFERROR(ABS(F542)/H542,"")</x:f>
        <x:v>0.10353428571428572</x:v>
      </x:c>
      <x:c r="J542" s="2" t="s">
        <x:v>298</x:v>
      </x:c>
      <x:c r="K542" s="8">
        <x:v>0.94943</x:v>
      </x:c>
      <x:c r="L542" s="2" t="s">
        <x:v>299</x:v>
      </x:c>
      <x:c r="M542" s="2">
        <x:v>1</x:v>
      </x:c>
      <x:c r="N542" s="2" t="s">
        <x:v>79</x:v>
      </x:c>
      <x:c r="O542" s="5">
        <x:v>63.4</x:v>
      </x:c>
      <x:c r="P542" s="2">
        <x:v>461</x:v>
      </x:c>
      <x:c r="Q542" s="2" t="n">
        <x:f>IF(OR(J542="positive",J542="negative"),1,0)</x:f>
        <x:v>1</x:v>
      </x:c>
    </x:row>
    <x:row r="543" ht="15">
      <x:c r="A543" s="2" t="s">
        <x:v>50</x:v>
      </x:c>
      <x:c r="B543" s="2" t="s">
        <x:v>220</x:v>
      </x:c>
      <x:c r="C543" s="2">
        <x:v>1</x:v>
      </x:c>
      <x:c r="D543" s="2" t="s">
        <x:v>300</x:v>
      </x:c>
      <x:c r="E543" s="2" t="s">
        <x:v>301</x:v>
      </x:c>
      <x:c r="F543" s="7">
        <x:v>6.7199999999999996E-2</x:v>
      </x:c>
      <x:c r="G543" s="2" t="s">
        <x:v>302</x:v>
      </x:c>
      <x:c r="H543" s="8">
        <x:v>0.45</x:v>
      </x:c>
      <x:c r="I543" s="9" t="n">
        <x:f t="shared" si="8">IFERROR(ABS(F543)/H543,"")</x:f>
        <x:v>0.14933333333333332</x:v>
      </x:c>
      <x:c r="J543" s="2" t="s">
        <x:v>298</x:v>
      </x:c>
      <x:c r="K543" s="8">
        <x:v>0.90376000000000001</x:v>
      </x:c>
      <x:c r="L543" s="2" t="s">
        <x:v>299</x:v>
      </x:c>
      <x:c r="M543" s="2">
        <x:v>1</x:v>
      </x:c>
      <x:c r="N543" s="2" t="s">
        <x:v>79</x:v>
      </x:c>
      <x:c r="O543" s="5">
        <x:v>63.4</x:v>
      </x:c>
      <x:c r="P543" s="2">
        <x:v>461</x:v>
      </x:c>
      <x:c r="Q543" s="2" t="n">
        <x:f>IF(OR(J543="positive",J543="negative"),1,0)</x:f>
        <x:v>1</x:v>
      </x:c>
    </x:row>
    <x:row r="544" ht="15">
      <x:c r="A544" s="2" t="s">
        <x:v>50</x:v>
      </x:c>
      <x:c r="B544" s="2" t="s">
        <x:v>220</x:v>
      </x:c>
      <x:c r="C544" s="2">
        <x:v>1</x:v>
      </x:c>
      <x:c r="D544" s="2" t="s">
        <x:v>18</x:v>
      </x:c>
      <x:c r="E544" s="2" t="s">
        <x:v>303</x:v>
      </x:c>
      <x:c r="F544" s="7">
        <x:v>-3.2539999999999999E-2</x:v>
      </x:c>
      <x:c r="G544" s="2" t="s">
        <x:v>304</x:v>
      </x:c>
      <x:c r="H544" s="8">
        <x:v>7.4999999999999997E-2</x:v>
      </x:c>
      <x:c r="I544" s="9" t="n">
        <x:f t="shared" si="8">IFERROR(ABS(F544)/H544,"")</x:f>
        <x:v>0.4338666666666667</x:v>
      </x:c>
      <x:c r="J544" s="2" t="s">
        <x:v>298</x:v>
      </x:c>
      <x:c r="K544" s="8">
        <x:v>0.93959999999999999</x:v>
      </x:c>
      <x:c r="L544" s="2" t="s">
        <x:v>299</x:v>
      </x:c>
      <x:c r="M544" s="2">
        <x:v>1</x:v>
      </x:c>
      <x:c r="N544" s="2" t="s">
        <x:v>79</x:v>
      </x:c>
      <x:c r="O544" s="5">
        <x:v>63.4</x:v>
      </x:c>
      <x:c r="P544" s="2">
        <x:v>461</x:v>
      </x:c>
      <x:c r="Q544" s="2" t="n">
        <x:f>IF(OR(J544="positive",J544="negative"),1,0)</x:f>
        <x:v>1</x:v>
      </x:c>
    </x:row>
    <x:row r="545" ht="15">
      <x:c r="A545" s="2" t="s">
        <x:v>50</x:v>
      </x:c>
      <x:c r="B545" s="2" t="s">
        <x:v>220</x:v>
      </x:c>
      <x:c r="C545" s="2">
        <x:v>1</x:v>
      </x:c>
      <x:c r="D545" s="2" t="s">
        <x:v>305</x:v>
      </x:c>
      <x:c r="E545" s="2" t="s">
        <x:v>306</x:v>
      </x:c>
      <x:c r="F545" s="7">
        <x:v>-8.4100000000000008E-3</x:v>
      </x:c>
      <x:c r="G545" s="2" t="s">
        <x:v>304</x:v>
      </x:c>
      <x:c r="H545" s="8">
        <x:v>0.3</x:v>
      </x:c>
      <x:c r="I545" s="9" t="n">
        <x:f t="shared" si="8">IFERROR(ABS(F545)/H545,"")</x:f>
        <x:v>0.028033333333333337</x:v>
      </x:c>
      <x:c r="J545" s="2" t="s">
        <x:v>298</x:v>
      </x:c>
      <x:c r="K545" s="8">
        <x:v>0.90364999999999995</x:v>
      </x:c>
      <x:c r="L545" s="2" t="s">
        <x:v>299</x:v>
      </x:c>
      <x:c r="M545" s="2">
        <x:v>1</x:v>
      </x:c>
      <x:c r="N545" s="2" t="s">
        <x:v>79</x:v>
      </x:c>
      <x:c r="O545" s="5">
        <x:v>63.4</x:v>
      </x:c>
      <x:c r="P545" s="2">
        <x:v>461</x:v>
      </x:c>
      <x:c r="Q545" s="2" t="n">
        <x:f>IF(OR(J545="positive",J545="negative"),1,0)</x:f>
        <x:v>1</x:v>
      </x:c>
    </x:row>
    <x:row r="546" ht="15">
      <x:c r="A546" s="2" t="s">
        <x:v>50</x:v>
      </x:c>
      <x:c r="B546" s="2" t="s">
        <x:v>221</x:v>
      </x:c>
      <x:c r="C546" s="2">
        <x:v>2</x:v>
      </x:c>
      <x:c r="D546" s="2" t="s">
        <x:v>295</x:v>
      </x:c>
      <x:c r="E546" s="2" t="s">
        <x:v>296</x:v>
      </x:c>
      <x:c r="F546" s="7">
        <x:v>0.58150999999999997</x:v>
      </x:c>
      <x:c r="G546" s="2" t="s">
        <x:v>297</x:v>
      </x:c>
      <x:c r="H546" s="8">
        <x:v>3.5</x:v>
      </x:c>
      <x:c r="I546" s="9" t="n">
        <x:f t="shared" si="8">IFERROR(ABS(F546)/H546,"")</x:f>
        <x:v>0.16614571428571429</x:v>
      </x:c>
      <x:c r="J546" s="2" t="s">
        <x:v>298</x:v>
      </x:c>
      <x:c r="K546" s="8">
        <x:v>0.89288000000000001</x:v>
      </x:c>
      <x:c r="L546" s="2" t="s">
        <x:v>299</x:v>
      </x:c>
      <x:c r="M546" s="2">
        <x:v>1</x:v>
      </x:c>
      <x:c r="N546" s="2" t="s">
        <x:v>79</x:v>
      </x:c>
      <x:c r="O546" s="5">
        <x:v>62.3</x:v>
      </x:c>
      <x:c r="P546" s="2">
        <x:v>408</x:v>
      </x:c>
      <x:c r="Q546" s="2" t="n">
        <x:f>IF(OR(J546="positive",J546="negative"),1,0)</x:f>
        <x:v>1</x:v>
      </x:c>
    </x:row>
    <x:row r="547" ht="15">
      <x:c r="A547" s="2" t="s">
        <x:v>50</x:v>
      </x:c>
      <x:c r="B547" s="2" t="s">
        <x:v>221</x:v>
      </x:c>
      <x:c r="C547" s="2">
        <x:v>2</x:v>
      </x:c>
      <x:c r="D547" s="2" t="s">
        <x:v>300</x:v>
      </x:c>
      <x:c r="E547" s="2" t="s">
        <x:v>301</x:v>
      </x:c>
      <x:c r="F547" s="7">
        <x:v>7.7780000000000002E-2</x:v>
      </x:c>
      <x:c r="G547" s="2" t="s">
        <x:v>302</x:v>
      </x:c>
      <x:c r="H547" s="8">
        <x:v>0.45</x:v>
      </x:c>
      <x:c r="I547" s="9" t="n">
        <x:f t="shared" si="8">IFERROR(ABS(F547)/H547,"")</x:f>
        <x:v>0.17284444444444444</x:v>
      </x:c>
      <x:c r="J547" s="2" t="s">
        <x:v>298</x:v>
      </x:c>
      <x:c r="K547" s="8">
        <x:v>0.93223999999999996</x:v>
      </x:c>
      <x:c r="L547" s="2" t="s">
        <x:v>299</x:v>
      </x:c>
      <x:c r="M547" s="2">
        <x:v>1</x:v>
      </x:c>
      <x:c r="N547" s="2" t="s">
        <x:v>79</x:v>
      </x:c>
      <x:c r="O547" s="5">
        <x:v>62.3</x:v>
      </x:c>
      <x:c r="P547" s="2">
        <x:v>408</x:v>
      </x:c>
      <x:c r="Q547" s="2" t="n">
        <x:f>IF(OR(J547="positive",J547="negative"),1,0)</x:f>
        <x:v>1</x:v>
      </x:c>
    </x:row>
    <x:row r="548" ht="15">
      <x:c r="A548" s="2" t="s">
        <x:v>50</x:v>
      </x:c>
      <x:c r="B548" s="2" t="s">
        <x:v>221</x:v>
      </x:c>
      <x:c r="C548" s="2">
        <x:v>2</x:v>
      </x:c>
      <x:c r="D548" s="2" t="s">
        <x:v>18</x:v>
      </x:c>
      <x:c r="E548" s="2" t="s">
        <x:v>303</x:v>
      </x:c>
      <x:c r="F548" s="7">
        <x:v>-2.7990000000000001E-2</x:v>
      </x:c>
      <x:c r="G548" s="2" t="s">
        <x:v>304</x:v>
      </x:c>
      <x:c r="H548" s="8">
        <x:v>7.4999999999999997E-2</x:v>
      </x:c>
      <x:c r="I548" s="9" t="n">
        <x:f t="shared" si="8">IFERROR(ABS(F548)/H548,"")</x:f>
        <x:v>0.37320000000000003</x:v>
      </x:c>
      <x:c r="J548" s="2" t="s">
        <x:v>298</x:v>
      </x:c>
      <x:c r="K548" s="8">
        <x:v>0.92671000000000003</x:v>
      </x:c>
      <x:c r="L548" s="2" t="s">
        <x:v>299</x:v>
      </x:c>
      <x:c r="M548" s="2">
        <x:v>1</x:v>
      </x:c>
      <x:c r="N548" s="2" t="s">
        <x:v>79</x:v>
      </x:c>
      <x:c r="O548" s="5">
        <x:v>62.3</x:v>
      </x:c>
      <x:c r="P548" s="2">
        <x:v>408</x:v>
      </x:c>
      <x:c r="Q548" s="2" t="n">
        <x:f>IF(OR(J548="positive",J548="negative"),1,0)</x:f>
        <x:v>1</x:v>
      </x:c>
    </x:row>
    <x:row r="549" ht="15">
      <x:c r="A549" s="2" t="s">
        <x:v>50</x:v>
      </x:c>
      <x:c r="B549" s="2" t="s">
        <x:v>221</x:v>
      </x:c>
      <x:c r="C549" s="2">
        <x:v>2</x:v>
      </x:c>
      <x:c r="D549" s="2" t="s">
        <x:v>305</x:v>
      </x:c>
      <x:c r="E549" s="2" t="s">
        <x:v>306</x:v>
      </x:c>
      <x:c r="F549" s="7">
        <x:v>4.163E-2</x:v>
      </x:c>
      <x:c r="G549" s="2" t="s">
        <x:v>304</x:v>
      </x:c>
      <x:c r="H549" s="8">
        <x:v>0.3</x:v>
      </x:c>
      <x:c r="I549" s="9" t="n">
        <x:f t="shared" si="8">IFERROR(ABS(F549)/H549,"")</x:f>
        <x:v>0.13876666666666668</x:v>
      </x:c>
      <x:c r="J549" s="2" t="s">
        <x:v>298</x:v>
      </x:c>
      <x:c r="K549" s="8">
        <x:v>0.93666000000000005</x:v>
      </x:c>
      <x:c r="L549" s="2" t="s">
        <x:v>299</x:v>
      </x:c>
      <x:c r="M549" s="2">
        <x:v>1</x:v>
      </x:c>
      <x:c r="N549" s="2" t="s">
        <x:v>79</x:v>
      </x:c>
      <x:c r="O549" s="5">
        <x:v>62.3</x:v>
      </x:c>
      <x:c r="P549" s="2">
        <x:v>408</x:v>
      </x:c>
      <x:c r="Q549" s="2" t="n">
        <x:f>IF(OR(J549="positive",J549="negative"),1,0)</x:f>
        <x:v>1</x:v>
      </x:c>
    </x:row>
    <x:row r="550" ht="15">
      <x:c r="A550" s="2" t="s">
        <x:v>50</x:v>
      </x:c>
      <x:c r="B550" s="2" t="s">
        <x:v>222</x:v>
      </x:c>
      <x:c r="C550" s="2">
        <x:v>3</x:v>
      </x:c>
      <x:c r="D550" s="2" t="s">
        <x:v>295</x:v>
      </x:c>
      <x:c r="E550" s="2" t="s">
        <x:v>296</x:v>
      </x:c>
      <x:c r="F550" s="7">
        <x:v>0.43109999999999998</x:v>
      </x:c>
      <x:c r="G550" s="2" t="s">
        <x:v>297</x:v>
      </x:c>
      <x:c r="H550" s="8">
        <x:v>3.5</x:v>
      </x:c>
      <x:c r="I550" s="9" t="n">
        <x:f t="shared" si="8">IFERROR(ABS(F550)/H550,"")</x:f>
        <x:v>0.12317142857142857</x:v>
      </x:c>
      <x:c r="J550" s="2" t="s">
        <x:v>298</x:v>
      </x:c>
      <x:c r="K550" s="8">
        <x:v>0.98031999999999997</x:v>
      </x:c>
      <x:c r="L550" s="2" t="s">
        <x:v>299</x:v>
      </x:c>
      <x:c r="M550" s="2">
        <x:v>1</x:v>
      </x:c>
      <x:c r="N550" s="2" t="s">
        <x:v>79</x:v>
      </x:c>
      <x:c r="O550" s="5">
        <x:v>63.4</x:v>
      </x:c>
      <x:c r="P550" s="2">
        <x:v>379</x:v>
      </x:c>
      <x:c r="Q550" s="2" t="n">
        <x:f>IF(OR(J550="positive",J550="negative"),1,0)</x:f>
        <x:v>1</x:v>
      </x:c>
    </x:row>
    <x:row r="551" ht="15">
      <x:c r="A551" s="2" t="s">
        <x:v>50</x:v>
      </x:c>
      <x:c r="B551" s="2" t="s">
        <x:v>222</x:v>
      </x:c>
      <x:c r="C551" s="2">
        <x:v>3</x:v>
      </x:c>
      <x:c r="D551" s="2" t="s">
        <x:v>300</x:v>
      </x:c>
      <x:c r="E551" s="2" t="s">
        <x:v>301</x:v>
      </x:c>
      <x:c r="F551" s="7">
        <x:v>7.7880000000000005E-2</x:v>
      </x:c>
      <x:c r="G551" s="2" t="s">
        <x:v>302</x:v>
      </x:c>
      <x:c r="H551" s="8">
        <x:v>0.45</x:v>
      </x:c>
      <x:c r="I551" s="9" t="n">
        <x:f t="shared" si="8">IFERROR(ABS(F551)/H551,"")</x:f>
        <x:v>0.17306666666666667</x:v>
      </x:c>
      <x:c r="J551" s="2" t="s">
        <x:v>298</x:v>
      </x:c>
      <x:c r="K551" s="8">
        <x:v>0.94345000000000001</x:v>
      </x:c>
      <x:c r="L551" s="2" t="s">
        <x:v>299</x:v>
      </x:c>
      <x:c r="M551" s="2">
        <x:v>1</x:v>
      </x:c>
      <x:c r="N551" s="2" t="s">
        <x:v>79</x:v>
      </x:c>
      <x:c r="O551" s="5">
        <x:v>63.4</x:v>
      </x:c>
      <x:c r="P551" s="2">
        <x:v>379</x:v>
      </x:c>
      <x:c r="Q551" s="2" t="n">
        <x:f>IF(OR(J551="positive",J551="negative"),1,0)</x:f>
        <x:v>1</x:v>
      </x:c>
    </x:row>
    <x:row r="552" ht="15">
      <x:c r="A552" s="2" t="s">
        <x:v>50</x:v>
      </x:c>
      <x:c r="B552" s="2" t="s">
        <x:v>222</x:v>
      </x:c>
      <x:c r="C552" s="2">
        <x:v>3</x:v>
      </x:c>
      <x:c r="D552" s="2" t="s">
        <x:v>18</x:v>
      </x:c>
      <x:c r="E552" s="2" t="s">
        <x:v>303</x:v>
      </x:c>
      <x:c r="F552" s="7">
        <x:v>-2.7089999999999999E-2</x:v>
      </x:c>
      <x:c r="G552" s="2" t="s">
        <x:v>304</x:v>
      </x:c>
      <x:c r="H552" s="8">
        <x:v>7.4999999999999997E-2</x:v>
      </x:c>
      <x:c r="I552" s="9" t="n">
        <x:f t="shared" si="8">IFERROR(ABS(F552)/H552,"")</x:f>
        <x:v>0.3612</x:v>
      </x:c>
      <x:c r="J552" s="2" t="s">
        <x:v>298</x:v>
      </x:c>
      <x:c r="K552" s="8">
        <x:v>0.93528</x:v>
      </x:c>
      <x:c r="L552" s="2" t="s">
        <x:v>299</x:v>
      </x:c>
      <x:c r="M552" s="2">
        <x:v>1</x:v>
      </x:c>
      <x:c r="N552" s="2" t="s">
        <x:v>79</x:v>
      </x:c>
      <x:c r="O552" s="5">
        <x:v>63.4</x:v>
      </x:c>
      <x:c r="P552" s="2">
        <x:v>379</x:v>
      </x:c>
      <x:c r="Q552" s="2" t="n">
        <x:f>IF(OR(J552="positive",J552="negative"),1,0)</x:f>
        <x:v>1</x:v>
      </x:c>
    </x:row>
    <x:row r="553" ht="15">
      <x:c r="A553" s="2" t="s">
        <x:v>50</x:v>
      </x:c>
      <x:c r="B553" s="2" t="s">
        <x:v>222</x:v>
      </x:c>
      <x:c r="C553" s="2">
        <x:v>3</x:v>
      </x:c>
      <x:c r="D553" s="2" t="s">
        <x:v>305</x:v>
      </x:c>
      <x:c r="E553" s="2" t="s">
        <x:v>306</x:v>
      </x:c>
      <x:c r="F553" s="7">
        <x:v>1.7129999999999999E-2</x:v>
      </x:c>
      <x:c r="G553" s="2" t="s">
        <x:v>304</x:v>
      </x:c>
      <x:c r="H553" s="8">
        <x:v>0.3</x:v>
      </x:c>
      <x:c r="I553" s="9" t="n">
        <x:f t="shared" si="8">IFERROR(ABS(F553)/H553,"")</x:f>
        <x:v>0.0571</x:v>
      </x:c>
      <x:c r="J553" s="2" t="s">
        <x:v>307</x:v>
      </x:c>
      <x:c r="K553" s="8">
        <x:v>0.41438999999999998</x:v>
      </x:c>
      <x:c r="L553" s="2" t="s">
        <x:v>313</x:v>
      </x:c>
      <x:c r="M553" s="2">
        <x:v>1</x:v>
      </x:c>
      <x:c r="N553" s="2" t="s">
        <x:v>79</x:v>
      </x:c>
      <x:c r="O553" s="5">
        <x:v>63.4</x:v>
      </x:c>
      <x:c r="P553" s="2">
        <x:v>379</x:v>
      </x:c>
      <x:c r="Q553" s="2" t="n">
        <x:f>IF(OR(J553="positive",J553="negative"),1,0)</x:f>
        <x:v>0</x:v>
      </x:c>
    </x:row>
    <x:row r="554" ht="15">
      <x:c r="A554" s="2" t="s">
        <x:v>50</x:v>
      </x:c>
      <x:c r="B554" s="2" t="s">
        <x:v>223</x:v>
      </x:c>
      <x:c r="C554" s="2">
        <x:v>4</x:v>
      </x:c>
      <x:c r="D554" s="2" t="s">
        <x:v>295</x:v>
      </x:c>
      <x:c r="E554" s="2" t="s">
        <x:v>296</x:v>
      </x:c>
      <x:c r="F554" s="7">
        <x:v>0.53710000000000002</x:v>
      </x:c>
      <x:c r="G554" s="2" t="s">
        <x:v>297</x:v>
      </x:c>
      <x:c r="H554" s="8">
        <x:v>3.5</x:v>
      </x:c>
      <x:c r="I554" s="9" t="n">
        <x:f t="shared" si="8">IFERROR(ABS(F554)/H554,"")</x:f>
        <x:v>0.15345714285714288</x:v>
      </x:c>
      <x:c r="J554" s="2" t="s">
        <x:v>298</x:v>
      </x:c>
      <x:c r="K554" s="8">
        <x:v>0.93798000000000004</x:v>
      </x:c>
      <x:c r="L554" s="2" t="s">
        <x:v>299</x:v>
      </x:c>
      <x:c r="M554" s="2">
        <x:v>1</x:v>
      </x:c>
      <x:c r="N554" s="2" t="s">
        <x:v>79</x:v>
      </x:c>
      <x:c r="O554" s="5">
        <x:v>62.8</x:v>
      </x:c>
      <x:c r="P554" s="2">
        <x:v>489</x:v>
      </x:c>
      <x:c r="Q554" s="2" t="n">
        <x:f>IF(OR(J554="positive",J554="negative"),1,0)</x:f>
        <x:v>1</x:v>
      </x:c>
    </x:row>
    <x:row r="555" ht="15">
      <x:c r="A555" s="2" t="s">
        <x:v>50</x:v>
      </x:c>
      <x:c r="B555" s="2" t="s">
        <x:v>223</x:v>
      </x:c>
      <x:c r="C555" s="2">
        <x:v>4</x:v>
      </x:c>
      <x:c r="D555" s="2" t="s">
        <x:v>300</x:v>
      </x:c>
      <x:c r="E555" s="2" t="s">
        <x:v>301</x:v>
      </x:c>
      <x:c r="F555" s="7">
        <x:v>7.1150000000000005E-2</x:v>
      </x:c>
      <x:c r="G555" s="2" t="s">
        <x:v>302</x:v>
      </x:c>
      <x:c r="H555" s="8">
        <x:v>0.45</x:v>
      </x:c>
      <x:c r="I555" s="9" t="n">
        <x:f t="shared" si="8">IFERROR(ABS(F555)/H555,"")</x:f>
        <x:v>0.15811111111111112</x:v>
      </x:c>
      <x:c r="J555" s="2" t="s">
        <x:v>298</x:v>
      </x:c>
      <x:c r="K555" s="8">
        <x:v>0.9405</x:v>
      </x:c>
      <x:c r="L555" s="2" t="s">
        <x:v>299</x:v>
      </x:c>
      <x:c r="M555" s="2">
        <x:v>1</x:v>
      </x:c>
      <x:c r="N555" s="2" t="s">
        <x:v>79</x:v>
      </x:c>
      <x:c r="O555" s="5">
        <x:v>62.8</x:v>
      </x:c>
      <x:c r="P555" s="2">
        <x:v>489</x:v>
      </x:c>
      <x:c r="Q555" s="2" t="n">
        <x:f>IF(OR(J555="positive",J555="negative"),1,0)</x:f>
        <x:v>1</x:v>
      </x:c>
    </x:row>
    <x:row r="556" ht="15">
      <x:c r="A556" s="2" t="s">
        <x:v>50</x:v>
      </x:c>
      <x:c r="B556" s="2" t="s">
        <x:v>223</x:v>
      </x:c>
      <x:c r="C556" s="2">
        <x:v>4</x:v>
      </x:c>
      <x:c r="D556" s="2" t="s">
        <x:v>18</x:v>
      </x:c>
      <x:c r="E556" s="2" t="s">
        <x:v>303</x:v>
      </x:c>
      <x:c r="F556" s="7">
        <x:v>-2.572E-2</x:v>
      </x:c>
      <x:c r="G556" s="2" t="s">
        <x:v>304</x:v>
      </x:c>
      <x:c r="H556" s="8">
        <x:v>7.4999999999999997E-2</x:v>
      </x:c>
      <x:c r="I556" s="9" t="n">
        <x:f t="shared" si="8">IFERROR(ABS(F556)/H556,"")</x:f>
        <x:v>0.34293333333333337</x:v>
      </x:c>
      <x:c r="J556" s="2" t="s">
        <x:v>298</x:v>
      </x:c>
      <x:c r="K556" s="8">
        <x:v>0.90751999999999999</x:v>
      </x:c>
      <x:c r="L556" s="2" t="s">
        <x:v>299</x:v>
      </x:c>
      <x:c r="M556" s="2">
        <x:v>1</x:v>
      </x:c>
      <x:c r="N556" s="2" t="s">
        <x:v>79</x:v>
      </x:c>
      <x:c r="O556" s="5">
        <x:v>62.8</x:v>
      </x:c>
      <x:c r="P556" s="2">
        <x:v>489</x:v>
      </x:c>
      <x:c r="Q556" s="2" t="n">
        <x:f>IF(OR(J556="positive",J556="negative"),1,0)</x:f>
        <x:v>1</x:v>
      </x:c>
    </x:row>
    <x:row r="557" ht="15">
      <x:c r="A557" s="2" t="s">
        <x:v>50</x:v>
      </x:c>
      <x:c r="B557" s="2" t="s">
        <x:v>223</x:v>
      </x:c>
      <x:c r="C557" s="2">
        <x:v>4</x:v>
      </x:c>
      <x:c r="D557" s="2" t="s">
        <x:v>305</x:v>
      </x:c>
      <x:c r="E557" s="2" t="s">
        <x:v>306</x:v>
      </x:c>
      <x:c r="F557" s="7">
        <x:v>3.492E-2</x:v>
      </x:c>
      <x:c r="G557" s="2" t="s">
        <x:v>304</x:v>
      </x:c>
      <x:c r="H557" s="8">
        <x:v>0.3</x:v>
      </x:c>
      <x:c r="I557" s="9" t="n">
        <x:f t="shared" si="8">IFERROR(ABS(F557)/H557,"")</x:f>
        <x:v>0.1164</x:v>
      </x:c>
      <x:c r="J557" s="2" t="s">
        <x:v>298</x:v>
      </x:c>
      <x:c r="K557" s="8">
        <x:v>0.93432000000000004</x:v>
      </x:c>
      <x:c r="L557" s="2" t="s">
        <x:v>299</x:v>
      </x:c>
      <x:c r="M557" s="2">
        <x:v>1</x:v>
      </x:c>
      <x:c r="N557" s="2" t="s">
        <x:v>79</x:v>
      </x:c>
      <x:c r="O557" s="5">
        <x:v>62.8</x:v>
      </x:c>
      <x:c r="P557" s="2">
        <x:v>489</x:v>
      </x:c>
      <x:c r="Q557" s="2" t="n">
        <x:f>IF(OR(J557="positive",J557="negative"),1,0)</x:f>
        <x:v>1</x:v>
      </x:c>
    </x:row>
    <x:row r="558" ht="15">
      <x:c r="A558" s="2" t="s">
        <x:v>50</x:v>
      </x:c>
      <x:c r="B558" s="2" t="s">
        <x:v>224</x:v>
      </x:c>
      <x:c r="C558" s="2">
        <x:v>5</x:v>
      </x:c>
      <x:c r="D558" s="2" t="s">
        <x:v>295</x:v>
      </x:c>
      <x:c r="E558" s="2" t="s">
        <x:v>296</x:v>
      </x:c>
      <x:c r="F558" s="7">
        <x:v>0.44412000000000001</x:v>
      </x:c>
      <x:c r="G558" s="2" t="s">
        <x:v>297</x:v>
      </x:c>
      <x:c r="H558" s="8">
        <x:v>3.5</x:v>
      </x:c>
      <x:c r="I558" s="9" t="n">
        <x:f t="shared" si="8">IFERROR(ABS(F558)/H558,"")</x:f>
        <x:v>0.12689142857142857</x:v>
      </x:c>
      <x:c r="J558" s="2" t="s">
        <x:v>298</x:v>
      </x:c>
      <x:c r="K558" s="8">
        <x:v>0.93047000000000002</x:v>
      </x:c>
      <x:c r="L558" s="2" t="s">
        <x:v>299</x:v>
      </x:c>
      <x:c r="M558" s="2">
        <x:v>1</x:v>
      </x:c>
      <x:c r="N558" s="2" t="s">
        <x:v>79</x:v>
      </x:c>
      <x:c r="O558" s="5">
        <x:v>60.8</x:v>
      </x:c>
      <x:c r="P558" s="2">
        <x:v>304</x:v>
      </x:c>
      <x:c r="Q558" s="2" t="n">
        <x:f>IF(OR(J558="positive",J558="negative"),1,0)</x:f>
        <x:v>1</x:v>
      </x:c>
    </x:row>
    <x:row r="559" ht="15">
      <x:c r="A559" s="2" t="s">
        <x:v>50</x:v>
      </x:c>
      <x:c r="B559" s="2" t="s">
        <x:v>224</x:v>
      </x:c>
      <x:c r="C559" s="2">
        <x:v>5</x:v>
      </x:c>
      <x:c r="D559" s="2" t="s">
        <x:v>300</x:v>
      </x:c>
      <x:c r="E559" s="2" t="s">
        <x:v>301</x:v>
      </x:c>
      <x:c r="F559" s="7">
        <x:v>8.2869999999999999E-2</x:v>
      </x:c>
      <x:c r="G559" s="2" t="s">
        <x:v>302</x:v>
      </x:c>
      <x:c r="H559" s="8">
        <x:v>0.45</x:v>
      </x:c>
      <x:c r="I559" s="9" t="n">
        <x:f t="shared" si="8">IFERROR(ABS(F559)/H559,"")</x:f>
        <x:v>0.18415555555555554</x:v>
      </x:c>
      <x:c r="J559" s="2" t="s">
        <x:v>298</x:v>
      </x:c>
      <x:c r="K559" s="8">
        <x:v>0.94035999999999997</x:v>
      </x:c>
      <x:c r="L559" s="2" t="s">
        <x:v>299</x:v>
      </x:c>
      <x:c r="M559" s="2">
        <x:v>1</x:v>
      </x:c>
      <x:c r="N559" s="2" t="s">
        <x:v>79</x:v>
      </x:c>
      <x:c r="O559" s="5">
        <x:v>60.8</x:v>
      </x:c>
      <x:c r="P559" s="2">
        <x:v>304</x:v>
      </x:c>
      <x:c r="Q559" s="2" t="n">
        <x:f>IF(OR(J559="positive",J559="negative"),1,0)</x:f>
        <x:v>1</x:v>
      </x:c>
    </x:row>
    <x:row r="560" ht="15">
      <x:c r="A560" s="2" t="s">
        <x:v>50</x:v>
      </x:c>
      <x:c r="B560" s="2" t="s">
        <x:v>224</x:v>
      </x:c>
      <x:c r="C560" s="2">
        <x:v>5</x:v>
      </x:c>
      <x:c r="D560" s="2" t="s">
        <x:v>18</x:v>
      </x:c>
      <x:c r="E560" s="2" t="s">
        <x:v>303</x:v>
      </x:c>
      <x:c r="F560" s="7">
        <x:v>-3.2340000000000001E-2</x:v>
      </x:c>
      <x:c r="G560" s="2" t="s">
        <x:v>304</x:v>
      </x:c>
      <x:c r="H560" s="8">
        <x:v>7.4999999999999997E-2</x:v>
      </x:c>
      <x:c r="I560" s="9" t="n">
        <x:f t="shared" si="8">IFERROR(ABS(F560)/H560,"")</x:f>
        <x:v>0.4312</x:v>
      </x:c>
      <x:c r="J560" s="2" t="s">
        <x:v>298</x:v>
      </x:c>
      <x:c r="K560" s="8">
        <x:v>0.91120999999999996</x:v>
      </x:c>
      <x:c r="L560" s="2" t="s">
        <x:v>299</x:v>
      </x:c>
      <x:c r="M560" s="2">
        <x:v>1</x:v>
      </x:c>
      <x:c r="N560" s="2" t="s">
        <x:v>79</x:v>
      </x:c>
      <x:c r="O560" s="5">
        <x:v>60.8</x:v>
      </x:c>
      <x:c r="P560" s="2">
        <x:v>304</x:v>
      </x:c>
      <x:c r="Q560" s="2" t="n">
        <x:f>IF(OR(J560="positive",J560="negative"),1,0)</x:f>
        <x:v>1</x:v>
      </x:c>
    </x:row>
    <x:row r="561" ht="15">
      <x:c r="A561" s="2" t="s">
        <x:v>50</x:v>
      </x:c>
      <x:c r="B561" s="2" t="s">
        <x:v>224</x:v>
      </x:c>
      <x:c r="C561" s="2">
        <x:v>5</x:v>
      </x:c>
      <x:c r="D561" s="2" t="s">
        <x:v>305</x:v>
      </x:c>
      <x:c r="E561" s="2" t="s">
        <x:v>306</x:v>
      </x:c>
      <x:c r="F561" s="7">
        <x:v>1.155E-2</x:v>
      </x:c>
      <x:c r="G561" s="2" t="s">
        <x:v>304</x:v>
      </x:c>
      <x:c r="H561" s="8">
        <x:v>0.3</x:v>
      </x:c>
      <x:c r="I561" s="9" t="n">
        <x:f t="shared" si="8">IFERROR(ABS(F561)/H561,"")</x:f>
        <x:v>0.0385</x:v>
      </x:c>
      <x:c r="J561" s="2" t="s">
        <x:v>298</x:v>
      </x:c>
      <x:c r="K561" s="8">
        <x:v>0.94098000000000004</x:v>
      </x:c>
      <x:c r="L561" s="2" t="s">
        <x:v>299</x:v>
      </x:c>
      <x:c r="M561" s="2">
        <x:v>1</x:v>
      </x:c>
      <x:c r="N561" s="2" t="s">
        <x:v>79</x:v>
      </x:c>
      <x:c r="O561" s="5">
        <x:v>60.8</x:v>
      </x:c>
      <x:c r="P561" s="2">
        <x:v>304</x:v>
      </x:c>
      <x:c r="Q561" s="2" t="n">
        <x:f>IF(OR(J561="positive",J561="negative"),1,0)</x:f>
        <x:v>1</x:v>
      </x:c>
    </x:row>
    <x:row r="562" ht="15">
      <x:c r="A562" s="2" t="s">
        <x:v>51</x:v>
      </x:c>
      <x:c r="B562" s="2" t="s">
        <x:v>225</x:v>
      </x:c>
      <x:c r="C562" s="2">
        <x:v>1</x:v>
      </x:c>
      <x:c r="D562" s="2" t="s">
        <x:v>295</x:v>
      </x:c>
      <x:c r="E562" s="2" t="s">
        <x:v>296</x:v>
      </x:c>
      <x:c r="F562" s="7">
        <x:v>0.47961999999999999</x:v>
      </x:c>
      <x:c r="G562" s="2" t="s">
        <x:v>297</x:v>
      </x:c>
      <x:c r="H562" s="8">
        <x:v>3.5</x:v>
      </x:c>
      <x:c r="I562" s="9" t="n">
        <x:f t="shared" si="8">IFERROR(ABS(F562)/H562,"")</x:f>
        <x:v>0.13703428571428572</x:v>
      </x:c>
      <x:c r="J562" s="2" t="s">
        <x:v>298</x:v>
      </x:c>
      <x:c r="K562" s="8">
        <x:v>0.91774</x:v>
      </x:c>
      <x:c r="L562" s="2" t="s">
        <x:v>299</x:v>
      </x:c>
      <x:c r="M562" s="2">
        <x:v>1</x:v>
      </x:c>
      <x:c r="N562" s="2" t="s">
        <x:v>79</x:v>
      </x:c>
      <x:c r="O562" s="5">
        <x:v>61.1</x:v>
      </x:c>
      <x:c r="P562" s="2">
        <x:v>490</x:v>
      </x:c>
      <x:c r="Q562" s="2" t="n">
        <x:f>IF(OR(J562="positive",J562="negative"),1,0)</x:f>
        <x:v>1</x:v>
      </x:c>
    </x:row>
    <x:row r="563" ht="15">
      <x:c r="A563" s="2" t="s">
        <x:v>51</x:v>
      </x:c>
      <x:c r="B563" s="2" t="s">
        <x:v>225</x:v>
      </x:c>
      <x:c r="C563" s="2">
        <x:v>1</x:v>
      </x:c>
      <x:c r="D563" s="2" t="s">
        <x:v>300</x:v>
      </x:c>
      <x:c r="E563" s="2" t="s">
        <x:v>301</x:v>
      </x:c>
      <x:c r="F563" s="7">
        <x:v>0.10987</x:v>
      </x:c>
      <x:c r="G563" s="2" t="s">
        <x:v>302</x:v>
      </x:c>
      <x:c r="H563" s="8">
        <x:v>0.45</x:v>
      </x:c>
      <x:c r="I563" s="9" t="n">
        <x:f t="shared" si="8">IFERROR(ABS(F563)/H563,"")</x:f>
        <x:v>0.24415555555555554</x:v>
      </x:c>
      <x:c r="J563" s="2" t="s">
        <x:v>298</x:v>
      </x:c>
      <x:c r="K563" s="8">
        <x:v>0.94935999999999998</x:v>
      </x:c>
      <x:c r="L563" s="2" t="s">
        <x:v>299</x:v>
      </x:c>
      <x:c r="M563" s="2">
        <x:v>1</x:v>
      </x:c>
      <x:c r="N563" s="2" t="s">
        <x:v>79</x:v>
      </x:c>
      <x:c r="O563" s="5">
        <x:v>61.1</x:v>
      </x:c>
      <x:c r="P563" s="2">
        <x:v>490</x:v>
      </x:c>
      <x:c r="Q563" s="2" t="n">
        <x:f>IF(OR(J563="positive",J563="negative"),1,0)</x:f>
        <x:v>1</x:v>
      </x:c>
    </x:row>
    <x:row r="564" ht="15">
      <x:c r="A564" s="2" t="s">
        <x:v>51</x:v>
      </x:c>
      <x:c r="B564" s="2" t="s">
        <x:v>225</x:v>
      </x:c>
      <x:c r="C564" s="2">
        <x:v>1</x:v>
      </x:c>
      <x:c r="D564" s="2" t="s">
        <x:v>18</x:v>
      </x:c>
      <x:c r="E564" s="2" t="s">
        <x:v>303</x:v>
      </x:c>
      <x:c r="F564" s="7">
        <x:v>-1.8380000000000001E-2</x:v>
      </x:c>
      <x:c r="G564" s="2" t="s">
        <x:v>304</x:v>
      </x:c>
      <x:c r="H564" s="8">
        <x:v>7.4999999999999997E-2</x:v>
      </x:c>
      <x:c r="I564" s="9" t="n">
        <x:f t="shared" si="8">IFERROR(ABS(F564)/H564,"")</x:f>
        <x:v>0.24506666666666668</x:v>
      </x:c>
      <x:c r="J564" s="2" t="s">
        <x:v>298</x:v>
      </x:c>
      <x:c r="K564" s="8">
        <x:v>0.89639999999999997</x:v>
      </x:c>
      <x:c r="L564" s="2" t="s">
        <x:v>299</x:v>
      </x:c>
      <x:c r="M564" s="2">
        <x:v>1</x:v>
      </x:c>
      <x:c r="N564" s="2" t="s">
        <x:v>79</x:v>
      </x:c>
      <x:c r="O564" s="5">
        <x:v>61.1</x:v>
      </x:c>
      <x:c r="P564" s="2">
        <x:v>490</x:v>
      </x:c>
      <x:c r="Q564" s="2" t="n">
        <x:f>IF(OR(J564="positive",J564="negative"),1,0)</x:f>
        <x:v>1</x:v>
      </x:c>
    </x:row>
    <x:row r="565" ht="15">
      <x:c r="A565" s="2" t="s">
        <x:v>51</x:v>
      </x:c>
      <x:c r="B565" s="2" t="s">
        <x:v>225</x:v>
      </x:c>
      <x:c r="C565" s="2">
        <x:v>1</x:v>
      </x:c>
      <x:c r="D565" s="2" t="s">
        <x:v>305</x:v>
      </x:c>
      <x:c r="E565" s="2" t="s">
        <x:v>306</x:v>
      </x:c>
      <x:c r="F565" s="7">
        <x:v>-5.493E-2</x:v>
      </x:c>
      <x:c r="G565" s="2" t="s">
        <x:v>304</x:v>
      </x:c>
      <x:c r="H565" s="8">
        <x:v>0.3</x:v>
      </x:c>
      <x:c r="I565" s="9" t="n">
        <x:f t="shared" si="8">IFERROR(ABS(F565)/H565,"")</x:f>
        <x:v>0.1831</x:v>
      </x:c>
      <x:c r="J565" s="2" t="s">
        <x:v>298</x:v>
      </x:c>
      <x:c r="K565" s="8">
        <x:v>0.95013000000000003</x:v>
      </x:c>
      <x:c r="L565" s="2" t="s">
        <x:v>299</x:v>
      </x:c>
      <x:c r="M565" s="2">
        <x:v>1</x:v>
      </x:c>
      <x:c r="N565" s="2" t="s">
        <x:v>79</x:v>
      </x:c>
      <x:c r="O565" s="5">
        <x:v>61.1</x:v>
      </x:c>
      <x:c r="P565" s="2">
        <x:v>490</x:v>
      </x:c>
      <x:c r="Q565" s="2" t="n">
        <x:f>IF(OR(J565="positive",J565="negative"),1,0)</x:f>
        <x:v>1</x:v>
      </x:c>
    </x:row>
    <x:row r="566" ht="15">
      <x:c r="A566" s="2" t="s">
        <x:v>51</x:v>
      </x:c>
      <x:c r="B566" s="2" t="s">
        <x:v>226</x:v>
      </x:c>
      <x:c r="C566" s="2">
        <x:v>2</x:v>
      </x:c>
      <x:c r="D566" s="2" t="s">
        <x:v>295</x:v>
      </x:c>
      <x:c r="E566" s="2" t="s">
        <x:v>296</x:v>
      </x:c>
      <x:c r="F566" s="7">
        <x:v>0.48447000000000001</x:v>
      </x:c>
      <x:c r="G566" s="2" t="s">
        <x:v>297</x:v>
      </x:c>
      <x:c r="H566" s="8">
        <x:v>3.5</x:v>
      </x:c>
      <x:c r="I566" s="9" t="n">
        <x:f t="shared" si="8">IFERROR(ABS(F566)/H566,"")</x:f>
        <x:v>0.13842000000000002</x:v>
      </x:c>
      <x:c r="J566" s="2" t="s">
        <x:v>298</x:v>
      </x:c>
      <x:c r="K566" s="8">
        <x:v>0.93471000000000004</x:v>
      </x:c>
      <x:c r="L566" s="2" t="s">
        <x:v>299</x:v>
      </x:c>
      <x:c r="M566" s="2">
        <x:v>1</x:v>
      </x:c>
      <x:c r="N566" s="2" t="s">
        <x:v>79</x:v>
      </x:c>
      <x:c r="O566" s="5">
        <x:v>61.2</x:v>
      </x:c>
      <x:c r="P566" s="2">
        <x:v>418</x:v>
      </x:c>
      <x:c r="Q566" s="2" t="n">
        <x:f>IF(OR(J566="positive",J566="negative"),1,0)</x:f>
        <x:v>1</x:v>
      </x:c>
    </x:row>
    <x:row r="567" ht="15">
      <x:c r="A567" s="2" t="s">
        <x:v>51</x:v>
      </x:c>
      <x:c r="B567" s="2" t="s">
        <x:v>226</x:v>
      </x:c>
      <x:c r="C567" s="2">
        <x:v>2</x:v>
      </x:c>
      <x:c r="D567" s="2" t="s">
        <x:v>300</x:v>
      </x:c>
      <x:c r="E567" s="2" t="s">
        <x:v>301</x:v>
      </x:c>
      <x:c r="F567" s="7">
        <x:v>9.5820000000000002E-2</x:v>
      </x:c>
      <x:c r="G567" s="2" t="s">
        <x:v>302</x:v>
      </x:c>
      <x:c r="H567" s="8">
        <x:v>0.45</x:v>
      </x:c>
      <x:c r="I567" s="9" t="n">
        <x:f t="shared" si="8">IFERROR(ABS(F567)/H567,"")</x:f>
        <x:v>0.21293333333333334</x:v>
      </x:c>
      <x:c r="J567" s="2" t="s">
        <x:v>298</x:v>
      </x:c>
      <x:c r="K567" s="8">
        <x:v>0.90941000000000005</x:v>
      </x:c>
      <x:c r="L567" s="2" t="s">
        <x:v>299</x:v>
      </x:c>
      <x:c r="M567" s="2">
        <x:v>1</x:v>
      </x:c>
      <x:c r="N567" s="2" t="s">
        <x:v>79</x:v>
      </x:c>
      <x:c r="O567" s="5">
        <x:v>61.2</x:v>
      </x:c>
      <x:c r="P567" s="2">
        <x:v>418</x:v>
      </x:c>
      <x:c r="Q567" s="2" t="n">
        <x:f>IF(OR(J567="positive",J567="negative"),1,0)</x:f>
        <x:v>1</x:v>
      </x:c>
    </x:row>
    <x:row r="568" ht="15">
      <x:c r="A568" s="2" t="s">
        <x:v>51</x:v>
      </x:c>
      <x:c r="B568" s="2" t="s">
        <x:v>226</x:v>
      </x:c>
      <x:c r="C568" s="2">
        <x:v>2</x:v>
      </x:c>
      <x:c r="D568" s="2" t="s">
        <x:v>18</x:v>
      </x:c>
      <x:c r="E568" s="2" t="s">
        <x:v>303</x:v>
      </x:c>
      <x:c r="F568" s="7">
        <x:v>-1.2880000000000001E-2</x:v>
      </x:c>
      <x:c r="G568" s="2" t="s">
        <x:v>304</x:v>
      </x:c>
      <x:c r="H568" s="8">
        <x:v>7.4999999999999997E-2</x:v>
      </x:c>
      <x:c r="I568" s="9" t="n">
        <x:f t="shared" si="8">IFERROR(ABS(F568)/H568,"")</x:f>
        <x:v>0.17173333333333335</x:v>
      </x:c>
      <x:c r="J568" s="2" t="s">
        <x:v>298</x:v>
      </x:c>
      <x:c r="K568" s="8">
        <x:v>0.94393000000000005</x:v>
      </x:c>
      <x:c r="L568" s="2" t="s">
        <x:v>299</x:v>
      </x:c>
      <x:c r="M568" s="2">
        <x:v>1</x:v>
      </x:c>
      <x:c r="N568" s="2" t="s">
        <x:v>79</x:v>
      </x:c>
      <x:c r="O568" s="5">
        <x:v>61.2</x:v>
      </x:c>
      <x:c r="P568" s="2">
        <x:v>418</x:v>
      </x:c>
      <x:c r="Q568" s="2" t="n">
        <x:f>IF(OR(J568="positive",J568="negative"),1,0)</x:f>
        <x:v>1</x:v>
      </x:c>
    </x:row>
    <x:row r="569" ht="15">
      <x:c r="A569" s="2" t="s">
        <x:v>51</x:v>
      </x:c>
      <x:c r="B569" s="2" t="s">
        <x:v>226</x:v>
      </x:c>
      <x:c r="C569" s="2">
        <x:v>2</x:v>
      </x:c>
      <x:c r="D569" s="2" t="s">
        <x:v>305</x:v>
      </x:c>
      <x:c r="E569" s="2" t="s">
        <x:v>306</x:v>
      </x:c>
      <x:c r="F569" s="7">
        <x:v>-5.1220000000000002E-2</x:v>
      </x:c>
      <x:c r="G569" s="2" t="s">
        <x:v>304</x:v>
      </x:c>
      <x:c r="H569" s="8">
        <x:v>0.3</x:v>
      </x:c>
      <x:c r="I569" s="9" t="n">
        <x:f t="shared" si="8">IFERROR(ABS(F569)/H569,"")</x:f>
        <x:v>0.17073333333333335</x:v>
      </x:c>
      <x:c r="J569" s="2" t="s">
        <x:v>298</x:v>
      </x:c>
      <x:c r="K569" s="8">
        <x:v>0.91710000000000003</x:v>
      </x:c>
      <x:c r="L569" s="2" t="s">
        <x:v>299</x:v>
      </x:c>
      <x:c r="M569" s="2">
        <x:v>1</x:v>
      </x:c>
      <x:c r="N569" s="2" t="s">
        <x:v>79</x:v>
      </x:c>
      <x:c r="O569" s="5">
        <x:v>61.2</x:v>
      </x:c>
      <x:c r="P569" s="2">
        <x:v>418</x:v>
      </x:c>
      <x:c r="Q569" s="2" t="n">
        <x:f>IF(OR(J569="positive",J569="negative"),1,0)</x:f>
        <x:v>1</x:v>
      </x:c>
    </x:row>
    <x:row r="570" ht="15">
      <x:c r="A570" s="2" t="s">
        <x:v>51</x:v>
      </x:c>
      <x:c r="B570" s="2" t="s">
        <x:v>227</x:v>
      </x:c>
      <x:c r="C570" s="2">
        <x:v>3</x:v>
      </x:c>
      <x:c r="D570" s="2" t="s">
        <x:v>295</x:v>
      </x:c>
      <x:c r="E570" s="2" t="s">
        <x:v>296</x:v>
      </x:c>
      <x:c r="F570" s="7">
        <x:v>0.32779999999999998</x:v>
      </x:c>
      <x:c r="G570" s="2" t="s">
        <x:v>297</x:v>
      </x:c>
      <x:c r="H570" s="8">
        <x:v>3.5</x:v>
      </x:c>
      <x:c r="I570" s="9" t="n">
        <x:f t="shared" si="8">IFERROR(ABS(F570)/H570,"")</x:f>
        <x:v>0.09365714285714286</x:v>
      </x:c>
      <x:c r="J570" s="2" t="s">
        <x:v>298</x:v>
      </x:c>
      <x:c r="K570" s="8">
        <x:v>0.95313999999999999</x:v>
      </x:c>
      <x:c r="L570" s="2" t="s">
        <x:v>299</x:v>
      </x:c>
      <x:c r="M570" s="2">
        <x:v>1</x:v>
      </x:c>
      <x:c r="N570" s="2" t="s">
        <x:v>79</x:v>
      </x:c>
      <x:c r="O570" s="5">
        <x:v>51.4</x:v>
      </x:c>
      <x:c r="P570" s="2">
        <x:v>343</x:v>
      </x:c>
      <x:c r="Q570" s="2" t="n">
        <x:f>IF(OR(J570="positive",J570="negative"),1,0)</x:f>
        <x:v>1</x:v>
      </x:c>
    </x:row>
    <x:row r="571" ht="15">
      <x:c r="A571" s="2" t="s">
        <x:v>51</x:v>
      </x:c>
      <x:c r="B571" s="2" t="s">
        <x:v>227</x:v>
      </x:c>
      <x:c r="C571" s="2">
        <x:v>3</x:v>
      </x:c>
      <x:c r="D571" s="2" t="s">
        <x:v>300</x:v>
      </x:c>
      <x:c r="E571" s="2" t="s">
        <x:v>301</x:v>
      </x:c>
      <x:c r="F571" s="7">
        <x:v>9.7229999999999997E-2</x:v>
      </x:c>
      <x:c r="G571" s="2" t="s">
        <x:v>302</x:v>
      </x:c>
      <x:c r="H571" s="8">
        <x:v>0.45</x:v>
      </x:c>
      <x:c r="I571" s="9" t="n">
        <x:f t="shared" si="8">IFERROR(ABS(F571)/H571,"")</x:f>
        <x:v>0.21606666666666666</x:v>
      </x:c>
      <x:c r="J571" s="2" t="s">
        <x:v>298</x:v>
      </x:c>
      <x:c r="K571" s="8">
        <x:v>0.92386000000000001</x:v>
      </x:c>
      <x:c r="L571" s="2" t="s">
        <x:v>299</x:v>
      </x:c>
      <x:c r="M571" s="2">
        <x:v>1</x:v>
      </x:c>
      <x:c r="N571" s="2" t="s">
        <x:v>79</x:v>
      </x:c>
      <x:c r="O571" s="5">
        <x:v>51.4</x:v>
      </x:c>
      <x:c r="P571" s="2">
        <x:v>343</x:v>
      </x:c>
      <x:c r="Q571" s="2" t="n">
        <x:f>IF(OR(J571="positive",J571="negative"),1,0)</x:f>
        <x:v>1</x:v>
      </x:c>
    </x:row>
    <x:row r="572" ht="15">
      <x:c r="A572" s="2" t="s">
        <x:v>51</x:v>
      </x:c>
      <x:c r="B572" s="2" t="s">
        <x:v>227</x:v>
      </x:c>
      <x:c r="C572" s="2">
        <x:v>3</x:v>
      </x:c>
      <x:c r="D572" s="2" t="s">
        <x:v>18</x:v>
      </x:c>
      <x:c r="E572" s="2" t="s">
        <x:v>303</x:v>
      </x:c>
      <x:c r="F572" s="7">
        <x:v>-1.593E-2</x:v>
      </x:c>
      <x:c r="G572" s="2" t="s">
        <x:v>304</x:v>
      </x:c>
      <x:c r="H572" s="8">
        <x:v>7.4999999999999997E-2</x:v>
      </x:c>
      <x:c r="I572" s="9" t="n">
        <x:f t="shared" si="8">IFERROR(ABS(F572)/H572,"")</x:f>
        <x:v>0.2124</x:v>
      </x:c>
      <x:c r="J572" s="2" t="s">
        <x:v>298</x:v>
      </x:c>
      <x:c r="K572" s="8">
        <x:v>0.96694000000000002</x:v>
      </x:c>
      <x:c r="L572" s="2" t="s">
        <x:v>299</x:v>
      </x:c>
      <x:c r="M572" s="2">
        <x:v>1</x:v>
      </x:c>
      <x:c r="N572" s="2" t="s">
        <x:v>79</x:v>
      </x:c>
      <x:c r="O572" s="5">
        <x:v>51.4</x:v>
      </x:c>
      <x:c r="P572" s="2">
        <x:v>343</x:v>
      </x:c>
      <x:c r="Q572" s="2" t="n">
        <x:f>IF(OR(J572="positive",J572="negative"),1,0)</x:f>
        <x:v>1</x:v>
      </x:c>
    </x:row>
    <x:row r="573" ht="15">
      <x:c r="A573" s="2" t="s">
        <x:v>51</x:v>
      </x:c>
      <x:c r="B573" s="2" t="s">
        <x:v>227</x:v>
      </x:c>
      <x:c r="C573" s="2">
        <x:v>3</x:v>
      </x:c>
      <x:c r="D573" s="2" t="s">
        <x:v>305</x:v>
      </x:c>
      <x:c r="E573" s="2" t="s">
        <x:v>306</x:v>
      </x:c>
      <x:c r="F573" s="7">
        <x:v>-3.671E-2</x:v>
      </x:c>
      <x:c r="G573" s="2" t="s">
        <x:v>304</x:v>
      </x:c>
      <x:c r="H573" s="8">
        <x:v>0.3</x:v>
      </x:c>
      <x:c r="I573" s="9" t="n">
        <x:f t="shared" si="8">IFERROR(ABS(F573)/H573,"")</x:f>
        <x:v>0.12236666666666667</x:v>
      </x:c>
      <x:c r="J573" s="2" t="s">
        <x:v>298</x:v>
      </x:c>
      <x:c r="K573" s="8">
        <x:v>0.89298</x:v>
      </x:c>
      <x:c r="L573" s="2" t="s">
        <x:v>299</x:v>
      </x:c>
      <x:c r="M573" s="2">
        <x:v>1</x:v>
      </x:c>
      <x:c r="N573" s="2" t="s">
        <x:v>79</x:v>
      </x:c>
      <x:c r="O573" s="5">
        <x:v>51.4</x:v>
      </x:c>
      <x:c r="P573" s="2">
        <x:v>343</x:v>
      </x:c>
      <x:c r="Q573" s="2" t="n">
        <x:f>IF(OR(J573="positive",J573="negative"),1,0)</x:f>
        <x:v>1</x:v>
      </x:c>
    </x:row>
    <x:row r="574" ht="15">
      <x:c r="A574" s="2" t="s">
        <x:v>51</x:v>
      </x:c>
      <x:c r="B574" s="2" t="s">
        <x:v>228</x:v>
      </x:c>
      <x:c r="C574" s="2">
        <x:v>4</x:v>
      </x:c>
      <x:c r="D574" s="2" t="s">
        <x:v>295</x:v>
      </x:c>
      <x:c r="E574" s="2" t="s">
        <x:v>296</x:v>
      </x:c>
      <x:c r="F574" s="7">
        <x:v>0.27951999999999999</x:v>
      </x:c>
      <x:c r="G574" s="2" t="s">
        <x:v>297</x:v>
      </x:c>
      <x:c r="H574" s="8">
        <x:v>3.5</x:v>
      </x:c>
      <x:c r="I574" s="9" t="n">
        <x:f t="shared" si="8">IFERROR(ABS(F574)/H574,"")</x:f>
        <x:v>0.07986285714285714</x:v>
      </x:c>
      <x:c r="J574" s="2" t="s">
        <x:v>298</x:v>
      </x:c>
      <x:c r="K574" s="8">
        <x:v>0.94762000000000002</x:v>
      </x:c>
      <x:c r="L574" s="2" t="s">
        <x:v>299</x:v>
      </x:c>
      <x:c r="M574" s="2">
        <x:v>1</x:v>
      </x:c>
      <x:c r="N574" s="2" t="s">
        <x:v>79</x:v>
      </x:c>
      <x:c r="O574" s="5">
        <x:v>55.4</x:v>
      </x:c>
      <x:c r="P574" s="2">
        <x:v>368</x:v>
      </x:c>
      <x:c r="Q574" s="2" t="n">
        <x:f>IF(OR(J574="positive",J574="negative"),1,0)</x:f>
        <x:v>1</x:v>
      </x:c>
    </x:row>
    <x:row r="575" ht="15">
      <x:c r="A575" s="2" t="s">
        <x:v>51</x:v>
      </x:c>
      <x:c r="B575" s="2" t="s">
        <x:v>228</x:v>
      </x:c>
      <x:c r="C575" s="2">
        <x:v>4</x:v>
      </x:c>
      <x:c r="D575" s="2" t="s">
        <x:v>300</x:v>
      </x:c>
      <x:c r="E575" s="2" t="s">
        <x:v>301</x:v>
      </x:c>
      <x:c r="F575" s="7">
        <x:v>0.12125</x:v>
      </x:c>
      <x:c r="G575" s="2" t="s">
        <x:v>302</x:v>
      </x:c>
      <x:c r="H575" s="8">
        <x:v>0.45</x:v>
      </x:c>
      <x:c r="I575" s="9" t="n">
        <x:f t="shared" si="8">IFERROR(ABS(F575)/H575,"")</x:f>
        <x:v>0.26944444444444443</x:v>
      </x:c>
      <x:c r="J575" s="2" t="s">
        <x:v>298</x:v>
      </x:c>
      <x:c r="K575" s="8">
        <x:v>0.91823999999999995</x:v>
      </x:c>
      <x:c r="L575" s="2" t="s">
        <x:v>299</x:v>
      </x:c>
      <x:c r="M575" s="2">
        <x:v>1</x:v>
      </x:c>
      <x:c r="N575" s="2" t="s">
        <x:v>79</x:v>
      </x:c>
      <x:c r="O575" s="5">
        <x:v>55.4</x:v>
      </x:c>
      <x:c r="P575" s="2">
        <x:v>368</x:v>
      </x:c>
      <x:c r="Q575" s="2" t="n">
        <x:f>IF(OR(J575="positive",J575="negative"),1,0)</x:f>
        <x:v>1</x:v>
      </x:c>
    </x:row>
    <x:row r="576" ht="15">
      <x:c r="A576" s="2" t="s">
        <x:v>51</x:v>
      </x:c>
      <x:c r="B576" s="2" t="s">
        <x:v>228</x:v>
      </x:c>
      <x:c r="C576" s="2">
        <x:v>4</x:v>
      </x:c>
      <x:c r="D576" s="2" t="s">
        <x:v>18</x:v>
      </x:c>
      <x:c r="E576" s="2" t="s">
        <x:v>303</x:v>
      </x:c>
      <x:c r="F576" s="7">
        <x:v>-8.09E-3</x:v>
      </x:c>
      <x:c r="G576" s="2" t="s">
        <x:v>304</x:v>
      </x:c>
      <x:c r="H576" s="8">
        <x:v>7.4999999999999997E-2</x:v>
      </x:c>
      <x:c r="I576" s="9" t="n">
        <x:f t="shared" si="8">IFERROR(ABS(F576)/H576,"")</x:f>
        <x:v>0.10786666666666667</x:v>
      </x:c>
      <x:c r="J576" s="2" t="s">
        <x:v>298</x:v>
      </x:c>
      <x:c r="K576" s="8">
        <x:v>0.95064000000000004</x:v>
      </x:c>
      <x:c r="L576" s="2" t="s">
        <x:v>299</x:v>
      </x:c>
      <x:c r="M576" s="2">
        <x:v>1</x:v>
      </x:c>
      <x:c r="N576" s="2" t="s">
        <x:v>79</x:v>
      </x:c>
      <x:c r="O576" s="5">
        <x:v>55.4</x:v>
      </x:c>
      <x:c r="P576" s="2">
        <x:v>368</x:v>
      </x:c>
      <x:c r="Q576" s="2" t="n">
        <x:f>IF(OR(J576="positive",J576="negative"),1,0)</x:f>
        <x:v>1</x:v>
      </x:c>
    </x:row>
    <x:row r="577" ht="15">
      <x:c r="A577" s="2" t="s">
        <x:v>51</x:v>
      </x:c>
      <x:c r="B577" s="2" t="s">
        <x:v>228</x:v>
      </x:c>
      <x:c r="C577" s="2">
        <x:v>4</x:v>
      </x:c>
      <x:c r="D577" s="2" t="s">
        <x:v>305</x:v>
      </x:c>
      <x:c r="E577" s="2" t="s">
        <x:v>306</x:v>
      </x:c>
      <x:c r="F577" s="7">
        <x:v>-6.0019999999999997E-2</x:v>
      </x:c>
      <x:c r="G577" s="2" t="s">
        <x:v>304</x:v>
      </x:c>
      <x:c r="H577" s="8">
        <x:v>0.3</x:v>
      </x:c>
      <x:c r="I577" s="9" t="n">
        <x:f t="shared" si="8">IFERROR(ABS(F577)/H577,"")</x:f>
        <x:v>0.20006666666666667</x:v>
      </x:c>
      <x:c r="J577" s="2" t="s">
        <x:v>298</x:v>
      </x:c>
      <x:c r="K577" s="8">
        <x:v>0.95801000000000003</x:v>
      </x:c>
      <x:c r="L577" s="2" t="s">
        <x:v>299</x:v>
      </x:c>
      <x:c r="M577" s="2">
        <x:v>1</x:v>
      </x:c>
      <x:c r="N577" s="2" t="s">
        <x:v>79</x:v>
      </x:c>
      <x:c r="O577" s="5">
        <x:v>55.4</x:v>
      </x:c>
      <x:c r="P577" s="2">
        <x:v>368</x:v>
      </x:c>
      <x:c r="Q577" s="2" t="n">
        <x:f>IF(OR(J577="positive",J577="negative"),1,0)</x:f>
        <x:v>1</x:v>
      </x:c>
    </x:row>
    <x:row r="578" ht="15">
      <x:c r="A578" s="2" t="s">
        <x:v>51</x:v>
      </x:c>
      <x:c r="B578" s="2" t="s">
        <x:v>229</x:v>
      </x:c>
      <x:c r="C578" s="2">
        <x:v>5</x:v>
      </x:c>
      <x:c r="D578" s="2" t="s">
        <x:v>295</x:v>
      </x:c>
      <x:c r="E578" s="2" t="s">
        <x:v>296</x:v>
      </x:c>
      <x:c r="F578" s="7">
        <x:v>0.52451000000000003</x:v>
      </x:c>
      <x:c r="G578" s="2" t="s">
        <x:v>297</x:v>
      </x:c>
      <x:c r="H578" s="8">
        <x:v>3.5</x:v>
      </x:c>
      <x:c r="I578" s="9" t="n">
        <x:f t="shared" ref="I578:I641" si="9">IFERROR(ABS(F578)/H578,"")</x:f>
        <x:v>0.14986000000000002</x:v>
      </x:c>
      <x:c r="J578" s="2" t="s">
        <x:v>298</x:v>
      </x:c>
      <x:c r="K578" s="8">
        <x:v>0.92254000000000003</x:v>
      </x:c>
      <x:c r="L578" s="2" t="s">
        <x:v>299</x:v>
      </x:c>
      <x:c r="M578" s="2">
        <x:v>1</x:v>
      </x:c>
      <x:c r="N578" s="2" t="s">
        <x:v>79</x:v>
      </x:c>
      <x:c r="O578" s="5">
        <x:v>59</x:v>
      </x:c>
      <x:c r="P578" s="2">
        <x:v>400</x:v>
      </x:c>
      <x:c r="Q578" s="2" t="n">
        <x:f>IF(OR(J578="positive",J578="negative"),1,0)</x:f>
        <x:v>1</x:v>
      </x:c>
    </x:row>
    <x:row r="579" ht="15">
      <x:c r="A579" s="2" t="s">
        <x:v>51</x:v>
      </x:c>
      <x:c r="B579" s="2" t="s">
        <x:v>229</x:v>
      </x:c>
      <x:c r="C579" s="2">
        <x:v>5</x:v>
      </x:c>
      <x:c r="D579" s="2" t="s">
        <x:v>300</x:v>
      </x:c>
      <x:c r="E579" s="2" t="s">
        <x:v>301</x:v>
      </x:c>
      <x:c r="F579" s="7">
        <x:v>9.801E-2</x:v>
      </x:c>
      <x:c r="G579" s="2" t="s">
        <x:v>302</x:v>
      </x:c>
      <x:c r="H579" s="8">
        <x:v>0.45</x:v>
      </x:c>
      <x:c r="I579" s="9" t="n">
        <x:f t="shared" si="9">IFERROR(ABS(F579)/H579,"")</x:f>
        <x:v>0.2178</x:v>
      </x:c>
      <x:c r="J579" s="2" t="s">
        <x:v>298</x:v>
      </x:c>
      <x:c r="K579" s="8">
        <x:v>0.94930000000000003</x:v>
      </x:c>
      <x:c r="L579" s="2" t="s">
        <x:v>299</x:v>
      </x:c>
      <x:c r="M579" s="2">
        <x:v>1</x:v>
      </x:c>
      <x:c r="N579" s="2" t="s">
        <x:v>79</x:v>
      </x:c>
      <x:c r="O579" s="5">
        <x:v>59</x:v>
      </x:c>
      <x:c r="P579" s="2">
        <x:v>400</x:v>
      </x:c>
      <x:c r="Q579" s="2" t="n">
        <x:f>IF(OR(J579="positive",J579="negative"),1,0)</x:f>
        <x:v>1</x:v>
      </x:c>
    </x:row>
    <x:row r="580" ht="15">
      <x:c r="A580" s="2" t="s">
        <x:v>51</x:v>
      </x:c>
      <x:c r="B580" s="2" t="s">
        <x:v>229</x:v>
      </x:c>
      <x:c r="C580" s="2">
        <x:v>5</x:v>
      </x:c>
      <x:c r="D580" s="2" t="s">
        <x:v>18</x:v>
      </x:c>
      <x:c r="E580" s="2" t="s">
        <x:v>303</x:v>
      </x:c>
      <x:c r="F580" s="7">
        <x:v>-1.142E-2</x:v>
      </x:c>
      <x:c r="G580" s="2" t="s">
        <x:v>304</x:v>
      </x:c>
      <x:c r="H580" s="8">
        <x:v>7.4999999999999997E-2</x:v>
      </x:c>
      <x:c r="I580" s="9" t="n">
        <x:f t="shared" si="9">IFERROR(ABS(F580)/H580,"")</x:f>
        <x:v>0.15226666666666666</x:v>
      </x:c>
      <x:c r="J580" s="2" t="s">
        <x:v>298</x:v>
      </x:c>
      <x:c r="K580" s="8">
        <x:v>0.91757999999999995</x:v>
      </x:c>
      <x:c r="L580" s="2" t="s">
        <x:v>299</x:v>
      </x:c>
      <x:c r="M580" s="2">
        <x:v>1</x:v>
      </x:c>
      <x:c r="N580" s="2" t="s">
        <x:v>79</x:v>
      </x:c>
      <x:c r="O580" s="5">
        <x:v>59</x:v>
      </x:c>
      <x:c r="P580" s="2">
        <x:v>400</x:v>
      </x:c>
      <x:c r="Q580" s="2" t="n">
        <x:f>IF(OR(J580="positive",J580="negative"),1,0)</x:f>
        <x:v>1</x:v>
      </x:c>
    </x:row>
    <x:row r="581" ht="15">
      <x:c r="A581" s="2" t="s">
        <x:v>51</x:v>
      </x:c>
      <x:c r="B581" s="2" t="s">
        <x:v>229</x:v>
      </x:c>
      <x:c r="C581" s="2">
        <x:v>5</x:v>
      </x:c>
      <x:c r="D581" s="2" t="s">
        <x:v>305</x:v>
      </x:c>
      <x:c r="E581" s="2" t="s">
        <x:v>306</x:v>
      </x:c>
      <x:c r="F581" s="7">
        <x:v>-5.4050000000000001E-2</x:v>
      </x:c>
      <x:c r="G581" s="2" t="s">
        <x:v>304</x:v>
      </x:c>
      <x:c r="H581" s="8">
        <x:v>0.3</x:v>
      </x:c>
      <x:c r="I581" s="9" t="n">
        <x:f t="shared" si="9">IFERROR(ABS(F581)/H581,"")</x:f>
        <x:v>0.18016666666666667</x:v>
      </x:c>
      <x:c r="J581" s="2" t="s">
        <x:v>298</x:v>
      </x:c>
      <x:c r="K581" s="8">
        <x:v>0.97516000000000003</x:v>
      </x:c>
      <x:c r="L581" s="2" t="s">
        <x:v>299</x:v>
      </x:c>
      <x:c r="M581" s="2">
        <x:v>1</x:v>
      </x:c>
      <x:c r="N581" s="2" t="s">
        <x:v>79</x:v>
      </x:c>
      <x:c r="O581" s="5">
        <x:v>59</x:v>
      </x:c>
      <x:c r="P581" s="2">
        <x:v>400</x:v>
      </x:c>
      <x:c r="Q581" s="2" t="n">
        <x:f>IF(OR(J581="positive",J581="negative"),1,0)</x:f>
        <x:v>1</x:v>
      </x:c>
    </x:row>
    <x:row r="582" ht="15">
      <x:c r="A582" s="2" t="s">
        <x:v>52</x:v>
      </x:c>
      <x:c r="B582" s="2" t="s">
        <x:v>230</x:v>
      </x:c>
      <x:c r="C582" s="2">
        <x:v>1</x:v>
      </x:c>
      <x:c r="D582" s="2" t="s">
        <x:v>295</x:v>
      </x:c>
      <x:c r="E582" s="2" t="s">
        <x:v>296</x:v>
      </x:c>
      <x:c r="F582" s="7">
        <x:v>0.35918</x:v>
      </x:c>
      <x:c r="G582" s="2" t="s">
        <x:v>297</x:v>
      </x:c>
      <x:c r="H582" s="8">
        <x:v>3.5</x:v>
      </x:c>
      <x:c r="I582" s="9" t="n">
        <x:f t="shared" si="9">IFERROR(ABS(F582)/H582,"")</x:f>
        <x:v>0.10262285714285714</x:v>
      </x:c>
      <x:c r="J582" s="2" t="s">
        <x:v>298</x:v>
      </x:c>
      <x:c r="K582" s="8">
        <x:v>0.94652999999999998</x:v>
      </x:c>
      <x:c r="L582" s="2" t="s">
        <x:v>299</x:v>
      </x:c>
      <x:c r="M582" s="2">
        <x:v>1</x:v>
      </x:c>
      <x:c r="N582" s="2" t="s">
        <x:v>79</x:v>
      </x:c>
      <x:c r="O582" s="5">
        <x:v>63.5</x:v>
      </x:c>
      <x:c r="P582" s="2">
        <x:v>379</x:v>
      </x:c>
      <x:c r="Q582" s="2" t="n">
        <x:f>IF(OR(J582="positive",J582="negative"),1,0)</x:f>
        <x:v>1</x:v>
      </x:c>
    </x:row>
    <x:row r="583" ht="15">
      <x:c r="A583" s="2" t="s">
        <x:v>52</x:v>
      </x:c>
      <x:c r="B583" s="2" t="s">
        <x:v>230</x:v>
      </x:c>
      <x:c r="C583" s="2">
        <x:v>1</x:v>
      </x:c>
      <x:c r="D583" s="2" t="s">
        <x:v>300</x:v>
      </x:c>
      <x:c r="E583" s="2" t="s">
        <x:v>301</x:v>
      </x:c>
      <x:c r="F583" s="7">
        <x:v>0.10717</x:v>
      </x:c>
      <x:c r="G583" s="2" t="s">
        <x:v>302</x:v>
      </x:c>
      <x:c r="H583" s="8">
        <x:v>0.45</x:v>
      </x:c>
      <x:c r="I583" s="9" t="n">
        <x:f t="shared" si="9">IFERROR(ABS(F583)/H583,"")</x:f>
        <x:v>0.23815555555555556</x:v>
      </x:c>
      <x:c r="J583" s="2" t="s">
        <x:v>298</x:v>
      </x:c>
      <x:c r="K583" s="8">
        <x:v>0.96184999999999998</x:v>
      </x:c>
      <x:c r="L583" s="2" t="s">
        <x:v>299</x:v>
      </x:c>
      <x:c r="M583" s="2">
        <x:v>1</x:v>
      </x:c>
      <x:c r="N583" s="2" t="s">
        <x:v>79</x:v>
      </x:c>
      <x:c r="O583" s="5">
        <x:v>63.5</x:v>
      </x:c>
      <x:c r="P583" s="2">
        <x:v>379</x:v>
      </x:c>
      <x:c r="Q583" s="2" t="n">
        <x:f>IF(OR(J583="positive",J583="negative"),1,0)</x:f>
        <x:v>1</x:v>
      </x:c>
    </x:row>
    <x:row r="584" ht="15">
      <x:c r="A584" s="2" t="s">
        <x:v>52</x:v>
      </x:c>
      <x:c r="B584" s="2" t="s">
        <x:v>230</x:v>
      </x:c>
      <x:c r="C584" s="2">
        <x:v>1</x:v>
      </x:c>
      <x:c r="D584" s="2" t="s">
        <x:v>18</x:v>
      </x:c>
      <x:c r="E584" s="2" t="s">
        <x:v>303</x:v>
      </x:c>
      <x:c r="F584" s="7">
        <x:v>-6.2899999999999996E-3</x:v>
      </x:c>
      <x:c r="G584" s="2" t="s">
        <x:v>304</x:v>
      </x:c>
      <x:c r="H584" s="8">
        <x:v>7.4999999999999997E-2</x:v>
      </x:c>
      <x:c r="I584" s="9" t="n">
        <x:f t="shared" si="9">IFERROR(ABS(F584)/H584,"")</x:f>
        <x:v>0.08386666666666666</x:v>
      </x:c>
      <x:c r="J584" s="2" t="s">
        <x:v>298</x:v>
      </x:c>
      <x:c r="K584" s="8">
        <x:v>0.96457999999999999</x:v>
      </x:c>
      <x:c r="L584" s="2" t="s">
        <x:v>299</x:v>
      </x:c>
      <x:c r="M584" s="2">
        <x:v>1</x:v>
      </x:c>
      <x:c r="N584" s="2" t="s">
        <x:v>79</x:v>
      </x:c>
      <x:c r="O584" s="5">
        <x:v>63.5</x:v>
      </x:c>
      <x:c r="P584" s="2">
        <x:v>379</x:v>
      </x:c>
      <x:c r="Q584" s="2" t="n">
        <x:f>IF(OR(J584="positive",J584="negative"),1,0)</x:f>
        <x:v>1</x:v>
      </x:c>
    </x:row>
    <x:row r="585" ht="15">
      <x:c r="A585" s="2" t="s">
        <x:v>52</x:v>
      </x:c>
      <x:c r="B585" s="2" t="s">
        <x:v>230</x:v>
      </x:c>
      <x:c r="C585" s="2">
        <x:v>1</x:v>
      </x:c>
      <x:c r="D585" s="2" t="s">
        <x:v>305</x:v>
      </x:c>
      <x:c r="E585" s="2" t="s">
        <x:v>306</x:v>
      </x:c>
      <x:c r="F585" s="7">
        <x:v>7.9640000000000002E-2</x:v>
      </x:c>
      <x:c r="G585" s="2" t="s">
        <x:v>304</x:v>
      </x:c>
      <x:c r="H585" s="8">
        <x:v>0.3</x:v>
      </x:c>
      <x:c r="I585" s="9" t="n">
        <x:f t="shared" si="9">IFERROR(ABS(F585)/H585,"")</x:f>
        <x:v>0.2654666666666667</x:v>
      </x:c>
      <x:c r="J585" s="2" t="s">
        <x:v>298</x:v>
      </x:c>
      <x:c r="K585" s="8">
        <x:v>0.97589999999999999</x:v>
      </x:c>
      <x:c r="L585" s="2" t="s">
        <x:v>299</x:v>
      </x:c>
      <x:c r="M585" s="2">
        <x:v>1</x:v>
      </x:c>
      <x:c r="N585" s="2" t="s">
        <x:v>79</x:v>
      </x:c>
      <x:c r="O585" s="5">
        <x:v>63.5</x:v>
      </x:c>
      <x:c r="P585" s="2">
        <x:v>379</x:v>
      </x:c>
      <x:c r="Q585" s="2" t="n">
        <x:f>IF(OR(J585="positive",J585="negative"),1,0)</x:f>
        <x:v>1</x:v>
      </x:c>
    </x:row>
    <x:row r="586" ht="15">
      <x:c r="A586" s="2" t="s">
        <x:v>52</x:v>
      </x:c>
      <x:c r="B586" s="2" t="s">
        <x:v>231</x:v>
      </x:c>
      <x:c r="C586" s="2">
        <x:v>2</x:v>
      </x:c>
      <x:c r="D586" s="2" t="s">
        <x:v>295</x:v>
      </x:c>
      <x:c r="E586" s="2" t="s">
        <x:v>296</x:v>
      </x:c>
      <x:c r="F586" s="7">
        <x:v>0.35672999999999999</x:v>
      </x:c>
      <x:c r="G586" s="2" t="s">
        <x:v>297</x:v>
      </x:c>
      <x:c r="H586" s="8">
        <x:v>3.5</x:v>
      </x:c>
      <x:c r="I586" s="9" t="n">
        <x:f t="shared" si="9">IFERROR(ABS(F586)/H586,"")</x:f>
        <x:v>0.10192285714285713</x:v>
      </x:c>
      <x:c r="J586" s="2" t="s">
        <x:v>298</x:v>
      </x:c>
      <x:c r="K586" s="8">
        <x:v>0.97501000000000004</x:v>
      </x:c>
      <x:c r="L586" s="2" t="s">
        <x:v>299</x:v>
      </x:c>
      <x:c r="M586" s="2">
        <x:v>1</x:v>
      </x:c>
      <x:c r="N586" s="2" t="s">
        <x:v>79</x:v>
      </x:c>
      <x:c r="O586" s="5">
        <x:v>55.8</x:v>
      </x:c>
      <x:c r="P586" s="2">
        <x:v>446</x:v>
      </x:c>
      <x:c r="Q586" s="2" t="n">
        <x:f>IF(OR(J586="positive",J586="negative"),1,0)</x:f>
        <x:v>1</x:v>
      </x:c>
    </x:row>
    <x:row r="587" ht="15">
      <x:c r="A587" s="2" t="s">
        <x:v>52</x:v>
      </x:c>
      <x:c r="B587" s="2" t="s">
        <x:v>231</x:v>
      </x:c>
      <x:c r="C587" s="2">
        <x:v>2</x:v>
      </x:c>
      <x:c r="D587" s="2" t="s">
        <x:v>300</x:v>
      </x:c>
      <x:c r="E587" s="2" t="s">
        <x:v>301</x:v>
      </x:c>
      <x:c r="F587" s="7">
        <x:v>8.2360000000000003E-2</x:v>
      </x:c>
      <x:c r="G587" s="2" t="s">
        <x:v>302</x:v>
      </x:c>
      <x:c r="H587" s="8">
        <x:v>0.45</x:v>
      </x:c>
      <x:c r="I587" s="9" t="n">
        <x:f t="shared" si="9">IFERROR(ABS(F587)/H587,"")</x:f>
        <x:v>0.18302222222222223</x:v>
      </x:c>
      <x:c r="J587" s="2" t="s">
        <x:v>298</x:v>
      </x:c>
      <x:c r="K587" s="8">
        <x:v>0.96272000000000002</x:v>
      </x:c>
      <x:c r="L587" s="2" t="s">
        <x:v>299</x:v>
      </x:c>
      <x:c r="M587" s="2">
        <x:v>1</x:v>
      </x:c>
      <x:c r="N587" s="2" t="s">
        <x:v>79</x:v>
      </x:c>
      <x:c r="O587" s="5">
        <x:v>55.8</x:v>
      </x:c>
      <x:c r="P587" s="2">
        <x:v>446</x:v>
      </x:c>
      <x:c r="Q587" s="2" t="n">
        <x:f>IF(OR(J587="positive",J587="negative"),1,0)</x:f>
        <x:v>1</x:v>
      </x:c>
    </x:row>
    <x:row r="588" ht="15">
      <x:c r="A588" s="2" t="s">
        <x:v>52</x:v>
      </x:c>
      <x:c r="B588" s="2" t="s">
        <x:v>231</x:v>
      </x:c>
      <x:c r="C588" s="2">
        <x:v>2</x:v>
      </x:c>
      <x:c r="D588" s="2" t="s">
        <x:v>18</x:v>
      </x:c>
      <x:c r="E588" s="2" t="s">
        <x:v>303</x:v>
      </x:c>
      <x:c r="F588" s="7">
        <x:v>-7.2999999999999996E-4</x:v>
      </x:c>
      <x:c r="G588" s="2" t="s">
        <x:v>304</x:v>
      </x:c>
      <x:c r="H588" s="8">
        <x:v>7.4999999999999997E-2</x:v>
      </x:c>
      <x:c r="I588" s="9" t="n">
        <x:f t="shared" si="9">IFERROR(ABS(F588)/H588,"")</x:f>
        <x:v>0.009733333333333333</x:v>
      </x:c>
      <x:c r="J588" s="2" t="s">
        <x:v>298</x:v>
      </x:c>
      <x:c r="K588" s="8">
        <x:v>0.94825000000000004</x:v>
      </x:c>
      <x:c r="L588" s="2" t="s">
        <x:v>299</x:v>
      </x:c>
      <x:c r="M588" s="2">
        <x:v>1</x:v>
      </x:c>
      <x:c r="N588" s="2" t="s">
        <x:v>79</x:v>
      </x:c>
      <x:c r="O588" s="5">
        <x:v>55.8</x:v>
      </x:c>
      <x:c r="P588" s="2">
        <x:v>446</x:v>
      </x:c>
      <x:c r="Q588" s="2" t="n">
        <x:f>IF(OR(J588="positive",J588="negative"),1,0)</x:f>
        <x:v>1</x:v>
      </x:c>
    </x:row>
    <x:row r="589" ht="15">
      <x:c r="A589" s="2" t="s">
        <x:v>52</x:v>
      </x:c>
      <x:c r="B589" s="2" t="s">
        <x:v>231</x:v>
      </x:c>
      <x:c r="C589" s="2">
        <x:v>2</x:v>
      </x:c>
      <x:c r="D589" s="2" t="s">
        <x:v>305</x:v>
      </x:c>
      <x:c r="E589" s="2" t="s">
        <x:v>306</x:v>
      </x:c>
      <x:c r="F589" s="7">
        <x:v>3.04E-2</x:v>
      </x:c>
      <x:c r="G589" s="2" t="s">
        <x:v>304</x:v>
      </x:c>
      <x:c r="H589" s="8">
        <x:v>0.3</x:v>
      </x:c>
      <x:c r="I589" s="9" t="n">
        <x:f t="shared" si="9">IFERROR(ABS(F589)/H589,"")</x:f>
        <x:v>0.10133333333333333</x:v>
      </x:c>
      <x:c r="J589" s="2" t="s">
        <x:v>298</x:v>
      </x:c>
      <x:c r="K589" s="8">
        <x:v>0.91556000000000004</x:v>
      </x:c>
      <x:c r="L589" s="2" t="s">
        <x:v>299</x:v>
      </x:c>
      <x:c r="M589" s="2">
        <x:v>1</x:v>
      </x:c>
      <x:c r="N589" s="2" t="s">
        <x:v>79</x:v>
      </x:c>
      <x:c r="O589" s="5">
        <x:v>55.8</x:v>
      </x:c>
      <x:c r="P589" s="2">
        <x:v>446</x:v>
      </x:c>
      <x:c r="Q589" s="2" t="n">
        <x:f>IF(OR(J589="positive",J589="negative"),1,0)</x:f>
        <x:v>1</x:v>
      </x:c>
    </x:row>
    <x:row r="590" ht="15">
      <x:c r="A590" s="2" t="s">
        <x:v>52</x:v>
      </x:c>
      <x:c r="B590" s="2" t="s">
        <x:v>232</x:v>
      </x:c>
      <x:c r="C590" s="2">
        <x:v>3</x:v>
      </x:c>
      <x:c r="D590" s="2" t="s">
        <x:v>295</x:v>
      </x:c>
      <x:c r="E590" s="2" t="s">
        <x:v>296</x:v>
      </x:c>
      <x:c r="F590" s="7">
        <x:v>0.63063000000000002</x:v>
      </x:c>
      <x:c r="G590" s="2" t="s">
        <x:v>297</x:v>
      </x:c>
      <x:c r="H590" s="8">
        <x:v>3.5</x:v>
      </x:c>
      <x:c r="I590" s="9" t="n">
        <x:f t="shared" si="9">IFERROR(ABS(F590)/H590,"")</x:f>
        <x:v>0.18018</x:v>
      </x:c>
      <x:c r="J590" s="2" t="s">
        <x:v>298</x:v>
      </x:c>
      <x:c r="K590" s="8">
        <x:v>0.93081000000000003</x:v>
      </x:c>
      <x:c r="L590" s="2" t="s">
        <x:v>299</x:v>
      </x:c>
      <x:c r="M590" s="2">
        <x:v>1</x:v>
      </x:c>
      <x:c r="N590" s="2" t="s">
        <x:v>79</x:v>
      </x:c>
      <x:c r="O590" s="5">
        <x:v>63.6</x:v>
      </x:c>
      <x:c r="P590" s="2">
        <x:v>337</x:v>
      </x:c>
      <x:c r="Q590" s="2" t="n">
        <x:f>IF(OR(J590="positive",J590="negative"),1,0)</x:f>
        <x:v>1</x:v>
      </x:c>
    </x:row>
    <x:row r="591" ht="15">
      <x:c r="A591" s="2" t="s">
        <x:v>52</x:v>
      </x:c>
      <x:c r="B591" s="2" t="s">
        <x:v>232</x:v>
      </x:c>
      <x:c r="C591" s="2">
        <x:v>3</x:v>
      </x:c>
      <x:c r="D591" s="2" t="s">
        <x:v>300</x:v>
      </x:c>
      <x:c r="E591" s="2" t="s">
        <x:v>301</x:v>
      </x:c>
      <x:c r="F591" s="7">
        <x:v>0.10804</x:v>
      </x:c>
      <x:c r="G591" s="2" t="s">
        <x:v>302</x:v>
      </x:c>
      <x:c r="H591" s="8">
        <x:v>0.45</x:v>
      </x:c>
      <x:c r="I591" s="9" t="n">
        <x:f t="shared" si="9">IFERROR(ABS(F591)/H591,"")</x:f>
        <x:v>0.24008888888888888</x:v>
      </x:c>
      <x:c r="J591" s="2" t="s">
        <x:v>298</x:v>
      </x:c>
      <x:c r="K591" s="8">
        <x:v>0.94742000000000004</x:v>
      </x:c>
      <x:c r="L591" s="2" t="s">
        <x:v>299</x:v>
      </x:c>
      <x:c r="M591" s="2">
        <x:v>1</x:v>
      </x:c>
      <x:c r="N591" s="2" t="s">
        <x:v>79</x:v>
      </x:c>
      <x:c r="O591" s="5">
        <x:v>63.6</x:v>
      </x:c>
      <x:c r="P591" s="2">
        <x:v>337</x:v>
      </x:c>
      <x:c r="Q591" s="2" t="n">
        <x:f>IF(OR(J591="positive",J591="negative"),1,0)</x:f>
        <x:v>1</x:v>
      </x:c>
    </x:row>
    <x:row r="592" ht="15">
      <x:c r="A592" s="2" t="s">
        <x:v>52</x:v>
      </x:c>
      <x:c r="B592" s="2" t="s">
        <x:v>232</x:v>
      </x:c>
      <x:c r="C592" s="2">
        <x:v>3</x:v>
      </x:c>
      <x:c r="D592" s="2" t="s">
        <x:v>18</x:v>
      </x:c>
      <x:c r="E592" s="2" t="s">
        <x:v>303</x:v>
      </x:c>
      <x:c r="F592" s="7">
        <x:v>-1.2800000000000001E-3</x:v>
      </x:c>
      <x:c r="G592" s="2" t="s">
        <x:v>304</x:v>
      </x:c>
      <x:c r="H592" s="8">
        <x:v>7.4999999999999997E-2</x:v>
      </x:c>
      <x:c r="I592" s="9" t="n">
        <x:f t="shared" si="9">IFERROR(ABS(F592)/H592,"")</x:f>
        <x:v>0.017066666666666667</x:v>
      </x:c>
      <x:c r="J592" s="2" t="s">
        <x:v>298</x:v>
      </x:c>
      <x:c r="K592" s="8">
        <x:v>0.93494999999999995</x:v>
      </x:c>
      <x:c r="L592" s="2" t="s">
        <x:v>299</x:v>
      </x:c>
      <x:c r="M592" s="2">
        <x:v>1</x:v>
      </x:c>
      <x:c r="N592" s="2" t="s">
        <x:v>79</x:v>
      </x:c>
      <x:c r="O592" s="5">
        <x:v>63.6</x:v>
      </x:c>
      <x:c r="P592" s="2">
        <x:v>337</x:v>
      </x:c>
      <x:c r="Q592" s="2" t="n">
        <x:f>IF(OR(J592="positive",J592="negative"),1,0)</x:f>
        <x:v>1</x:v>
      </x:c>
    </x:row>
    <x:row r="593" ht="15">
      <x:c r="A593" s="2" t="s">
        <x:v>52</x:v>
      </x:c>
      <x:c r="B593" s="2" t="s">
        <x:v>232</x:v>
      </x:c>
      <x:c r="C593" s="2">
        <x:v>3</x:v>
      </x:c>
      <x:c r="D593" s="2" t="s">
        <x:v>305</x:v>
      </x:c>
      <x:c r="E593" s="2" t="s">
        <x:v>306</x:v>
      </x:c>
      <x:c r="F593" s="7">
        <x:v>5.7599999999999998E-2</x:v>
      </x:c>
      <x:c r="G593" s="2" t="s">
        <x:v>304</x:v>
      </x:c>
      <x:c r="H593" s="8">
        <x:v>0.3</x:v>
      </x:c>
      <x:c r="I593" s="9" t="n">
        <x:f t="shared" si="9">IFERROR(ABS(F593)/H593,"")</x:f>
        <x:v>0.192</x:v>
      </x:c>
      <x:c r="J593" s="2" t="s">
        <x:v>298</x:v>
      </x:c>
      <x:c r="K593" s="8">
        <x:v>0.94186000000000003</x:v>
      </x:c>
      <x:c r="L593" s="2" t="s">
        <x:v>299</x:v>
      </x:c>
      <x:c r="M593" s="2">
        <x:v>1</x:v>
      </x:c>
      <x:c r="N593" s="2" t="s">
        <x:v>79</x:v>
      </x:c>
      <x:c r="O593" s="5">
        <x:v>63.6</x:v>
      </x:c>
      <x:c r="P593" s="2">
        <x:v>337</x:v>
      </x:c>
      <x:c r="Q593" s="2" t="n">
        <x:f>IF(OR(J593="positive",J593="negative"),1,0)</x:f>
        <x:v>1</x:v>
      </x:c>
    </x:row>
    <x:row r="594" ht="15">
      <x:c r="A594" s="2" t="s">
        <x:v>52</x:v>
      </x:c>
      <x:c r="B594" s="2" t="s">
        <x:v>233</x:v>
      </x:c>
      <x:c r="C594" s="2">
        <x:v>4</x:v>
      </x:c>
      <x:c r="D594" s="2" t="s">
        <x:v>295</x:v>
      </x:c>
      <x:c r="E594" s="2" t="s">
        <x:v>296</x:v>
      </x:c>
      <x:c r="F594" s="7">
        <x:v>0.40682000000000001</x:v>
      </x:c>
      <x:c r="G594" s="2" t="s">
        <x:v>297</x:v>
      </x:c>
      <x:c r="H594" s="8">
        <x:v>3.5</x:v>
      </x:c>
      <x:c r="I594" s="9" t="n">
        <x:f t="shared" si="9">IFERROR(ABS(F594)/H594,"")</x:f>
        <x:v>0.11623428571428572</x:v>
      </x:c>
      <x:c r="J594" s="2" t="s">
        <x:v>298</x:v>
      </x:c>
      <x:c r="K594" s="8">
        <x:v>0.97616000000000003</x:v>
      </x:c>
      <x:c r="L594" s="2" t="s">
        <x:v>299</x:v>
      </x:c>
      <x:c r="M594" s="2">
        <x:v>1</x:v>
      </x:c>
      <x:c r="N594" s="2" t="s">
        <x:v>79</x:v>
      </x:c>
      <x:c r="O594" s="5">
        <x:v>64.599999999999994</x:v>
      </x:c>
      <x:c r="P594" s="2">
        <x:v>418</x:v>
      </x:c>
      <x:c r="Q594" s="2" t="n">
        <x:f>IF(OR(J594="positive",J594="negative"),1,0)</x:f>
        <x:v>1</x:v>
      </x:c>
    </x:row>
    <x:row r="595" ht="15">
      <x:c r="A595" s="2" t="s">
        <x:v>52</x:v>
      </x:c>
      <x:c r="B595" s="2" t="s">
        <x:v>233</x:v>
      </x:c>
      <x:c r="C595" s="2">
        <x:v>4</x:v>
      </x:c>
      <x:c r="D595" s="2" t="s">
        <x:v>300</x:v>
      </x:c>
      <x:c r="E595" s="2" t="s">
        <x:v>301</x:v>
      </x:c>
      <x:c r="F595" s="7">
        <x:v>8.8520000000000001E-2</x:v>
      </x:c>
      <x:c r="G595" s="2" t="s">
        <x:v>302</x:v>
      </x:c>
      <x:c r="H595" s="8">
        <x:v>0.45</x:v>
      </x:c>
      <x:c r="I595" s="9" t="n">
        <x:f t="shared" si="9">IFERROR(ABS(F595)/H595,"")</x:f>
        <x:v>0.19671111111111111</x:v>
      </x:c>
      <x:c r="J595" s="2" t="s">
        <x:v>298</x:v>
      </x:c>
      <x:c r="K595" s="8">
        <x:v>0.94340000000000002</x:v>
      </x:c>
      <x:c r="L595" s="2" t="s">
        <x:v>299</x:v>
      </x:c>
      <x:c r="M595" s="2">
        <x:v>1</x:v>
      </x:c>
      <x:c r="N595" s="2" t="s">
        <x:v>79</x:v>
      </x:c>
      <x:c r="O595" s="5">
        <x:v>64.599999999999994</x:v>
      </x:c>
      <x:c r="P595" s="2">
        <x:v>418</x:v>
      </x:c>
      <x:c r="Q595" s="2" t="n">
        <x:f>IF(OR(J595="positive",J595="negative"),1,0)</x:f>
        <x:v>1</x:v>
      </x:c>
    </x:row>
    <x:row r="596" ht="15">
      <x:c r="A596" s="2" t="s">
        <x:v>52</x:v>
      </x:c>
      <x:c r="B596" s="2" t="s">
        <x:v>233</x:v>
      </x:c>
      <x:c r="C596" s="2">
        <x:v>4</x:v>
      </x:c>
      <x:c r="D596" s="2" t="s">
        <x:v>18</x:v>
      </x:c>
      <x:c r="E596" s="2" t="s">
        <x:v>303</x:v>
      </x:c>
      <x:c r="F596" s="7">
        <x:v>4.8199999999999996E-3</x:v>
      </x:c>
      <x:c r="G596" s="2" t="s">
        <x:v>304</x:v>
      </x:c>
      <x:c r="H596" s="8">
        <x:v>7.4999999999999997E-2</x:v>
      </x:c>
      <x:c r="I596" s="9" t="n">
        <x:f t="shared" si="9">IFERROR(ABS(F596)/H596,"")</x:f>
        <x:v>0.06426666666666667</x:v>
      </x:c>
      <x:c r="J596" s="2" t="s">
        <x:v>298</x:v>
      </x:c>
      <x:c r="K596" s="8">
        <x:v>0.93152999999999997</x:v>
      </x:c>
      <x:c r="L596" s="2" t="s">
        <x:v>299</x:v>
      </x:c>
      <x:c r="M596" s="2">
        <x:v>1</x:v>
      </x:c>
      <x:c r="N596" s="2" t="s">
        <x:v>79</x:v>
      </x:c>
      <x:c r="O596" s="5">
        <x:v>64.599999999999994</x:v>
      </x:c>
      <x:c r="P596" s="2">
        <x:v>418</x:v>
      </x:c>
      <x:c r="Q596" s="2" t="n">
        <x:f>IF(OR(J596="positive",J596="negative"),1,0)</x:f>
        <x:v>1</x:v>
      </x:c>
    </x:row>
    <x:row r="597" ht="15">
      <x:c r="A597" s="2" t="s">
        <x:v>52</x:v>
      </x:c>
      <x:c r="B597" s="2" t="s">
        <x:v>233</x:v>
      </x:c>
      <x:c r="C597" s="2">
        <x:v>4</x:v>
      </x:c>
      <x:c r="D597" s="2" t="s">
        <x:v>305</x:v>
      </x:c>
      <x:c r="E597" s="2" t="s">
        <x:v>306</x:v>
      </x:c>
      <x:c r="F597" s="7">
        <x:v>6.2979999999999994E-2</x:v>
      </x:c>
      <x:c r="G597" s="2" t="s">
        <x:v>304</x:v>
      </x:c>
      <x:c r="H597" s="8">
        <x:v>0.3</x:v>
      </x:c>
      <x:c r="I597" s="9" t="n">
        <x:f t="shared" si="9">IFERROR(ABS(F597)/H597,"")</x:f>
        <x:v>0.20993333333333333</x:v>
      </x:c>
      <x:c r="J597" s="2" t="s">
        <x:v>298</x:v>
      </x:c>
      <x:c r="K597" s="8">
        <x:v>0.93220000000000003</x:v>
      </x:c>
      <x:c r="L597" s="2" t="s">
        <x:v>299</x:v>
      </x:c>
      <x:c r="M597" s="2">
        <x:v>1</x:v>
      </x:c>
      <x:c r="N597" s="2" t="s">
        <x:v>79</x:v>
      </x:c>
      <x:c r="O597" s="5">
        <x:v>64.599999999999994</x:v>
      </x:c>
      <x:c r="P597" s="2">
        <x:v>418</x:v>
      </x:c>
      <x:c r="Q597" s="2" t="n">
        <x:f>IF(OR(J597="positive",J597="negative"),1,0)</x:f>
        <x:v>1</x:v>
      </x:c>
    </x:row>
    <x:row r="598" ht="15">
      <x:c r="A598" s="2" t="s">
        <x:v>52</x:v>
      </x:c>
      <x:c r="B598" s="2" t="s">
        <x:v>234</x:v>
      </x:c>
      <x:c r="C598" s="2">
        <x:v>5</x:v>
      </x:c>
      <x:c r="D598" s="2" t="s">
        <x:v>295</x:v>
      </x:c>
      <x:c r="E598" s="2" t="s">
        <x:v>296</x:v>
      </x:c>
      <x:c r="F598" s="7">
        <x:v>0.6835</x:v>
      </x:c>
      <x:c r="G598" s="2" t="s">
        <x:v>297</x:v>
      </x:c>
      <x:c r="H598" s="8">
        <x:v>3.5</x:v>
      </x:c>
      <x:c r="I598" s="9" t="n">
        <x:f t="shared" si="9">IFERROR(ABS(F598)/H598,"")</x:f>
        <x:v>0.19528571428571428</x:v>
      </x:c>
      <x:c r="J598" s="2" t="s">
        <x:v>298</x:v>
      </x:c>
      <x:c r="K598" s="8">
        <x:v>0.94189999999999996</x:v>
      </x:c>
      <x:c r="L598" s="2" t="s">
        <x:v>299</x:v>
      </x:c>
      <x:c r="M598" s="2">
        <x:v>1</x:v>
      </x:c>
      <x:c r="N598" s="2" t="s">
        <x:v>79</x:v>
      </x:c>
      <x:c r="O598" s="5">
        <x:v>58.2</x:v>
      </x:c>
      <x:c r="P598" s="2">
        <x:v>293</x:v>
      </x:c>
      <x:c r="Q598" s="2" t="n">
        <x:f>IF(OR(J598="positive",J598="negative"),1,0)</x:f>
        <x:v>1</x:v>
      </x:c>
    </x:row>
    <x:row r="599" ht="15">
      <x:c r="A599" s="2" t="s">
        <x:v>52</x:v>
      </x:c>
      <x:c r="B599" s="2" t="s">
        <x:v>234</x:v>
      </x:c>
      <x:c r="C599" s="2">
        <x:v>5</x:v>
      </x:c>
      <x:c r="D599" s="2" t="s">
        <x:v>300</x:v>
      </x:c>
      <x:c r="E599" s="2" t="s">
        <x:v>301</x:v>
      </x:c>
      <x:c r="F599" s="7">
        <x:v>7.893E-2</x:v>
      </x:c>
      <x:c r="G599" s="2" t="s">
        <x:v>302</x:v>
      </x:c>
      <x:c r="H599" s="8">
        <x:v>0.45</x:v>
      </x:c>
      <x:c r="I599" s="9" t="n">
        <x:f t="shared" si="9">IFERROR(ABS(F599)/H599,"")</x:f>
        <x:v>0.1754</x:v>
      </x:c>
      <x:c r="J599" s="2" t="s">
        <x:v>298</x:v>
      </x:c>
      <x:c r="K599" s="8">
        <x:v>0.94715000000000005</x:v>
      </x:c>
      <x:c r="L599" s="2" t="s">
        <x:v>299</x:v>
      </x:c>
      <x:c r="M599" s="2">
        <x:v>1</x:v>
      </x:c>
      <x:c r="N599" s="2" t="s">
        <x:v>79</x:v>
      </x:c>
      <x:c r="O599" s="5">
        <x:v>58.2</x:v>
      </x:c>
      <x:c r="P599" s="2">
        <x:v>293</x:v>
      </x:c>
      <x:c r="Q599" s="2" t="n">
        <x:f>IF(OR(J599="positive",J599="negative"),1,0)</x:f>
        <x:v>1</x:v>
      </x:c>
    </x:row>
    <x:row r="600" ht="15">
      <x:c r="A600" s="2" t="s">
        <x:v>52</x:v>
      </x:c>
      <x:c r="B600" s="2" t="s">
        <x:v>234</x:v>
      </x:c>
      <x:c r="C600" s="2">
        <x:v>5</x:v>
      </x:c>
      <x:c r="D600" s="2" t="s">
        <x:v>18</x:v>
      </x:c>
      <x:c r="E600" s="2" t="s">
        <x:v>303</x:v>
      </x:c>
      <x:c r="F600" s="7">
        <x:v>6.0999999999999997E-4</x:v>
      </x:c>
      <x:c r="G600" s="2" t="s">
        <x:v>304</x:v>
      </x:c>
      <x:c r="H600" s="8">
        <x:v>7.4999999999999997E-2</x:v>
      </x:c>
      <x:c r="I600" s="9" t="n">
        <x:f t="shared" si="9">IFERROR(ABS(F600)/H600,"")</x:f>
        <x:v>0.008133333333333333</x:v>
      </x:c>
      <x:c r="J600" s="2" t="s">
        <x:v>298</x:v>
      </x:c>
      <x:c r="K600" s="8">
        <x:v>0.96701999999999999</x:v>
      </x:c>
      <x:c r="L600" s="2" t="s">
        <x:v>299</x:v>
      </x:c>
      <x:c r="M600" s="2">
        <x:v>1</x:v>
      </x:c>
      <x:c r="N600" s="2" t="s">
        <x:v>79</x:v>
      </x:c>
      <x:c r="O600" s="5">
        <x:v>58.2</x:v>
      </x:c>
      <x:c r="P600" s="2">
        <x:v>293</x:v>
      </x:c>
      <x:c r="Q600" s="2" t="n">
        <x:f>IF(OR(J600="positive",J600="negative"),1,0)</x:f>
        <x:v>1</x:v>
      </x:c>
    </x:row>
    <x:row r="601" ht="15">
      <x:c r="A601" s="2" t="s">
        <x:v>52</x:v>
      </x:c>
      <x:c r="B601" s="2" t="s">
        <x:v>234</x:v>
      </x:c>
      <x:c r="C601" s="2">
        <x:v>5</x:v>
      </x:c>
      <x:c r="D601" s="2" t="s">
        <x:v>305</x:v>
      </x:c>
      <x:c r="E601" s="2" t="s">
        <x:v>306</x:v>
      </x:c>
      <x:c r="F601" s="7">
        <x:v>3.3959999999999997E-2</x:v>
      </x:c>
      <x:c r="G601" s="2" t="s">
        <x:v>304</x:v>
      </x:c>
      <x:c r="H601" s="8">
        <x:v>0.3</x:v>
      </x:c>
      <x:c r="I601" s="9" t="n">
        <x:f t="shared" si="9">IFERROR(ABS(F601)/H601,"")</x:f>
        <x:v>0.1132</x:v>
      </x:c>
      <x:c r="J601" s="2" t="s">
        <x:v>298</x:v>
      </x:c>
      <x:c r="K601" s="8">
        <x:v>0.92337000000000002</x:v>
      </x:c>
      <x:c r="L601" s="2" t="s">
        <x:v>299</x:v>
      </x:c>
      <x:c r="M601" s="2">
        <x:v>1</x:v>
      </x:c>
      <x:c r="N601" s="2" t="s">
        <x:v>79</x:v>
      </x:c>
      <x:c r="O601" s="5">
        <x:v>58.2</x:v>
      </x:c>
      <x:c r="P601" s="2">
        <x:v>293</x:v>
      </x:c>
      <x:c r="Q601" s="2" t="n">
        <x:f>IF(OR(J601="positive",J601="negative"),1,0)</x:f>
        <x:v>1</x:v>
      </x:c>
    </x:row>
    <x:row r="602" ht="15">
      <x:c r="A602" s="2" t="s">
        <x:v>53</x:v>
      </x:c>
      <x:c r="B602" s="2" t="s">
        <x:v>235</x:v>
      </x:c>
      <x:c r="C602" s="2">
        <x:v>1</x:v>
      </x:c>
      <x:c r="D602" s="2" t="s">
        <x:v>295</x:v>
      </x:c>
      <x:c r="E602" s="2" t="s">
        <x:v>296</x:v>
      </x:c>
      <x:c r="F602" s="7">
        <x:v>0.60357000000000005</x:v>
      </x:c>
      <x:c r="G602" s="2" t="s">
        <x:v>297</x:v>
      </x:c>
      <x:c r="H602" s="8">
        <x:v>3.5</x:v>
      </x:c>
      <x:c r="I602" s="9" t="n">
        <x:f t="shared" si="9">IFERROR(ABS(F602)/H602,"")</x:f>
        <x:v>0.17244857142857145</x:v>
      </x:c>
      <x:c r="J602" s="2" t="s">
        <x:v>298</x:v>
      </x:c>
      <x:c r="K602" s="8">
        <x:v>0.94232000000000005</x:v>
      </x:c>
      <x:c r="L602" s="2" t="s">
        <x:v>299</x:v>
      </x:c>
      <x:c r="M602" s="2">
        <x:v>1</x:v>
      </x:c>
      <x:c r="N602" s="2" t="s">
        <x:v>79</x:v>
      </x:c>
      <x:c r="O602" s="5">
        <x:v>60.5</x:v>
      </x:c>
      <x:c r="P602" s="2">
        <x:v>555</x:v>
      </x:c>
      <x:c r="Q602" s="2" t="n">
        <x:f>IF(OR(J602="positive",J602="negative"),1,0)</x:f>
        <x:v>1</x:v>
      </x:c>
    </x:row>
    <x:row r="603" ht="15">
      <x:c r="A603" s="2" t="s">
        <x:v>53</x:v>
      </x:c>
      <x:c r="B603" s="2" t="s">
        <x:v>235</x:v>
      </x:c>
      <x:c r="C603" s="2">
        <x:v>1</x:v>
      </x:c>
      <x:c r="D603" s="2" t="s">
        <x:v>300</x:v>
      </x:c>
      <x:c r="E603" s="2" t="s">
        <x:v>301</x:v>
      </x:c>
      <x:c r="F603" s="7">
        <x:v>0.10208</x:v>
      </x:c>
      <x:c r="G603" s="2" t="s">
        <x:v>302</x:v>
      </x:c>
      <x:c r="H603" s="8">
        <x:v>0.45</x:v>
      </x:c>
      <x:c r="I603" s="9" t="n">
        <x:f t="shared" si="9">IFERROR(ABS(F603)/H603,"")</x:f>
        <x:v>0.22684444444444446</x:v>
      </x:c>
      <x:c r="J603" s="2" t="s">
        <x:v>298</x:v>
      </x:c>
      <x:c r="K603" s="8">
        <x:v>0.91617999999999999</x:v>
      </x:c>
      <x:c r="L603" s="2" t="s">
        <x:v>299</x:v>
      </x:c>
      <x:c r="M603" s="2">
        <x:v>1</x:v>
      </x:c>
      <x:c r="N603" s="2" t="s">
        <x:v>79</x:v>
      </x:c>
      <x:c r="O603" s="5">
        <x:v>60.5</x:v>
      </x:c>
      <x:c r="P603" s="2">
        <x:v>555</x:v>
      </x:c>
      <x:c r="Q603" s="2" t="n">
        <x:f>IF(OR(J603="positive",J603="negative"),1,0)</x:f>
        <x:v>1</x:v>
      </x:c>
    </x:row>
    <x:row r="604" ht="15">
      <x:c r="A604" s="2" t="s">
        <x:v>53</x:v>
      </x:c>
      <x:c r="B604" s="2" t="s">
        <x:v>235</x:v>
      </x:c>
      <x:c r="C604" s="2">
        <x:v>1</x:v>
      </x:c>
      <x:c r="D604" s="2" t="s">
        <x:v>18</x:v>
      </x:c>
      <x:c r="E604" s="2" t="s">
        <x:v>303</x:v>
      </x:c>
      <x:c r="F604" s="7">
        <x:v>-3.0269999999999998E-2</x:v>
      </x:c>
      <x:c r="G604" s="2" t="s">
        <x:v>304</x:v>
      </x:c>
      <x:c r="H604" s="8">
        <x:v>7.4999999999999997E-2</x:v>
      </x:c>
      <x:c r="I604" s="9" t="n">
        <x:f t="shared" si="9">IFERROR(ABS(F604)/H604,"")</x:f>
        <x:v>0.4036</x:v>
      </x:c>
      <x:c r="J604" s="2" t="s">
        <x:v>298</x:v>
      </x:c>
      <x:c r="K604" s="8">
        <x:v>0.95582999999999996</x:v>
      </x:c>
      <x:c r="L604" s="2" t="s">
        <x:v>299</x:v>
      </x:c>
      <x:c r="M604" s="2">
        <x:v>1</x:v>
      </x:c>
      <x:c r="N604" s="2" t="s">
        <x:v>79</x:v>
      </x:c>
      <x:c r="O604" s="5">
        <x:v>60.5</x:v>
      </x:c>
      <x:c r="P604" s="2">
        <x:v>555</x:v>
      </x:c>
      <x:c r="Q604" s="2" t="n">
        <x:f>IF(OR(J604="positive",J604="negative"),1,0)</x:f>
        <x:v>1</x:v>
      </x:c>
    </x:row>
    <x:row r="605" ht="15">
      <x:c r="A605" s="2" t="s">
        <x:v>53</x:v>
      </x:c>
      <x:c r="B605" s="2" t="s">
        <x:v>235</x:v>
      </x:c>
      <x:c r="C605" s="2">
        <x:v>1</x:v>
      </x:c>
      <x:c r="D605" s="2" t="s">
        <x:v>305</x:v>
      </x:c>
      <x:c r="E605" s="2" t="s">
        <x:v>306</x:v>
      </x:c>
      <x:c r="F605" s="7">
        <x:v>-2.4850000000000001E-2</x:v>
      </x:c>
      <x:c r="G605" s="2" t="s">
        <x:v>304</x:v>
      </x:c>
      <x:c r="H605" s="8">
        <x:v>0.3</x:v>
      </x:c>
      <x:c r="I605" s="9" t="n">
        <x:f t="shared" si="9">IFERROR(ABS(F605)/H605,"")</x:f>
        <x:v>0.08283333333333334</x:v>
      </x:c>
      <x:c r="J605" s="2" t="s">
        <x:v>298</x:v>
      </x:c>
      <x:c r="K605" s="8">
        <x:v>0.93147999999999997</x:v>
      </x:c>
      <x:c r="L605" s="2" t="s">
        <x:v>299</x:v>
      </x:c>
      <x:c r="M605" s="2">
        <x:v>1</x:v>
      </x:c>
      <x:c r="N605" s="2" t="s">
        <x:v>79</x:v>
      </x:c>
      <x:c r="O605" s="5">
        <x:v>60.5</x:v>
      </x:c>
      <x:c r="P605" s="2">
        <x:v>555</x:v>
      </x:c>
      <x:c r="Q605" s="2" t="n">
        <x:f>IF(OR(J605="positive",J605="negative"),1,0)</x:f>
        <x:v>1</x:v>
      </x:c>
    </x:row>
    <x:row r="606" ht="15">
      <x:c r="A606" s="2" t="s">
        <x:v>53</x:v>
      </x:c>
      <x:c r="B606" s="2" t="s">
        <x:v>236</x:v>
      </x:c>
      <x:c r="C606" s="2">
        <x:v>2</x:v>
      </x:c>
      <x:c r="D606" s="2" t="s">
        <x:v>295</x:v>
      </x:c>
      <x:c r="E606" s="2" t="s">
        <x:v>296</x:v>
      </x:c>
      <x:c r="F606" s="7">
        <x:v>0.46604000000000001</x:v>
      </x:c>
      <x:c r="G606" s="2" t="s">
        <x:v>297</x:v>
      </x:c>
      <x:c r="H606" s="8">
        <x:v>3.5</x:v>
      </x:c>
      <x:c r="I606" s="9" t="n">
        <x:f t="shared" si="9">IFERROR(ABS(F606)/H606,"")</x:f>
        <x:v>0.13315428571428573</x:v>
      </x:c>
      <x:c r="J606" s="2" t="s">
        <x:v>298</x:v>
      </x:c>
      <x:c r="K606" s="8">
        <x:v>0.90285000000000004</x:v>
      </x:c>
      <x:c r="L606" s="2" t="s">
        <x:v>299</x:v>
      </x:c>
      <x:c r="M606" s="2">
        <x:v>1</x:v>
      </x:c>
      <x:c r="N606" s="2" t="s">
        <x:v>79</x:v>
      </x:c>
      <x:c r="O606" s="5">
        <x:v>61.8</x:v>
      </x:c>
      <x:c r="P606" s="2">
        <x:v>511</x:v>
      </x:c>
      <x:c r="Q606" s="2" t="n">
        <x:f>IF(OR(J606="positive",J606="negative"),1,0)</x:f>
        <x:v>1</x:v>
      </x:c>
    </x:row>
    <x:row r="607" ht="15">
      <x:c r="A607" s="2" t="s">
        <x:v>53</x:v>
      </x:c>
      <x:c r="B607" s="2" t="s">
        <x:v>236</x:v>
      </x:c>
      <x:c r="C607" s="2">
        <x:v>2</x:v>
      </x:c>
      <x:c r="D607" s="2" t="s">
        <x:v>300</x:v>
      </x:c>
      <x:c r="E607" s="2" t="s">
        <x:v>301</x:v>
      </x:c>
      <x:c r="F607" s="7">
        <x:v>6.9750000000000006E-2</x:v>
      </x:c>
      <x:c r="G607" s="2" t="s">
        <x:v>302</x:v>
      </x:c>
      <x:c r="H607" s="8">
        <x:v>0.45</x:v>
      </x:c>
      <x:c r="I607" s="9" t="n">
        <x:f t="shared" si="9">IFERROR(ABS(F607)/H607,"")</x:f>
        <x:v>0.155</x:v>
      </x:c>
      <x:c r="J607" s="2" t="s">
        <x:v>298</x:v>
      </x:c>
      <x:c r="K607" s="8">
        <x:v>0.92247000000000001</x:v>
      </x:c>
      <x:c r="L607" s="2" t="s">
        <x:v>299</x:v>
      </x:c>
      <x:c r="M607" s="2">
        <x:v>1</x:v>
      </x:c>
      <x:c r="N607" s="2" t="s">
        <x:v>79</x:v>
      </x:c>
      <x:c r="O607" s="5">
        <x:v>61.8</x:v>
      </x:c>
      <x:c r="P607" s="2">
        <x:v>511</x:v>
      </x:c>
      <x:c r="Q607" s="2" t="n">
        <x:f>IF(OR(J607="positive",J607="negative"),1,0)</x:f>
        <x:v>1</x:v>
      </x:c>
    </x:row>
    <x:row r="608" ht="15">
      <x:c r="A608" s="2" t="s">
        <x:v>53</x:v>
      </x:c>
      <x:c r="B608" s="2" t="s">
        <x:v>236</x:v>
      </x:c>
      <x:c r="C608" s="2">
        <x:v>2</x:v>
      </x:c>
      <x:c r="D608" s="2" t="s">
        <x:v>18</x:v>
      </x:c>
      <x:c r="E608" s="2" t="s">
        <x:v>303</x:v>
      </x:c>
      <x:c r="F608" s="7">
        <x:v>-1.788E-2</x:v>
      </x:c>
      <x:c r="G608" s="2" t="s">
        <x:v>304</x:v>
      </x:c>
      <x:c r="H608" s="8">
        <x:v>7.4999999999999997E-2</x:v>
      </x:c>
      <x:c r="I608" s="9" t="n">
        <x:f t="shared" si="9">IFERROR(ABS(F608)/H608,"")</x:f>
        <x:v>0.2384</x:v>
      </x:c>
      <x:c r="J608" s="2" t="s">
        <x:v>298</x:v>
      </x:c>
      <x:c r="K608" s="8">
        <x:v>0.97409999999999997</x:v>
      </x:c>
      <x:c r="L608" s="2" t="s">
        <x:v>299</x:v>
      </x:c>
      <x:c r="M608" s="2">
        <x:v>1</x:v>
      </x:c>
      <x:c r="N608" s="2" t="s">
        <x:v>79</x:v>
      </x:c>
      <x:c r="O608" s="5">
        <x:v>61.8</x:v>
      </x:c>
      <x:c r="P608" s="2">
        <x:v>511</x:v>
      </x:c>
      <x:c r="Q608" s="2" t="n">
        <x:f>IF(OR(J608="positive",J608="negative"),1,0)</x:f>
        <x:v>1</x:v>
      </x:c>
    </x:row>
    <x:row r="609" ht="15">
      <x:c r="A609" s="2" t="s">
        <x:v>53</x:v>
      </x:c>
      <x:c r="B609" s="2" t="s">
        <x:v>236</x:v>
      </x:c>
      <x:c r="C609" s="2">
        <x:v>2</x:v>
      </x:c>
      <x:c r="D609" s="2" t="s">
        <x:v>305</x:v>
      </x:c>
      <x:c r="E609" s="2" t="s">
        <x:v>306</x:v>
      </x:c>
      <x:c r="F609" s="7">
        <x:v>-5.0479999999999997E-2</x:v>
      </x:c>
      <x:c r="G609" s="2" t="s">
        <x:v>304</x:v>
      </x:c>
      <x:c r="H609" s="8">
        <x:v>0.3</x:v>
      </x:c>
      <x:c r="I609" s="9" t="n">
        <x:f t="shared" si="9">IFERROR(ABS(F609)/H609,"")</x:f>
        <x:v>0.16826666666666668</x:v>
      </x:c>
      <x:c r="J609" s="2" t="s">
        <x:v>298</x:v>
      </x:c>
      <x:c r="K609" s="8">
        <x:v>0.97302</x:v>
      </x:c>
      <x:c r="L609" s="2" t="s">
        <x:v>299</x:v>
      </x:c>
      <x:c r="M609" s="2">
        <x:v>1</x:v>
      </x:c>
      <x:c r="N609" s="2" t="s">
        <x:v>79</x:v>
      </x:c>
      <x:c r="O609" s="5">
        <x:v>61.8</x:v>
      </x:c>
      <x:c r="P609" s="2">
        <x:v>511</x:v>
      </x:c>
      <x:c r="Q609" s="2" t="n">
        <x:f>IF(OR(J609="positive",J609="negative"),1,0)</x:f>
        <x:v>1</x:v>
      </x:c>
    </x:row>
    <x:row r="610" ht="15">
      <x:c r="A610" s="2" t="s">
        <x:v>53</x:v>
      </x:c>
      <x:c r="B610" s="2" t="s">
        <x:v>237</x:v>
      </x:c>
      <x:c r="C610" s="2">
        <x:v>3</x:v>
      </x:c>
      <x:c r="D610" s="2" t="s">
        <x:v>295</x:v>
      </x:c>
      <x:c r="E610" s="2" t="s">
        <x:v>296</x:v>
      </x:c>
      <x:c r="F610" s="7">
        <x:v>0.33977000000000002</x:v>
      </x:c>
      <x:c r="G610" s="2" t="s">
        <x:v>297</x:v>
      </x:c>
      <x:c r="H610" s="8">
        <x:v>3.5</x:v>
      </x:c>
      <x:c r="I610" s="9" t="n">
        <x:f t="shared" si="9">IFERROR(ABS(F610)/H610,"")</x:f>
        <x:v>0.09707714285714286</x:v>
      </x:c>
      <x:c r="J610" s="2" t="s">
        <x:v>298</x:v>
      </x:c>
      <x:c r="K610" s="8">
        <x:v>0.94499</x:v>
      </x:c>
      <x:c r="L610" s="2" t="s">
        <x:v>299</x:v>
      </x:c>
      <x:c r="M610" s="2">
        <x:v>1</x:v>
      </x:c>
      <x:c r="N610" s="2" t="s">
        <x:v>79</x:v>
      </x:c>
      <x:c r="O610" s="5">
        <x:v>59.4</x:v>
      </x:c>
      <x:c r="P610" s="2">
        <x:v>427</x:v>
      </x:c>
      <x:c r="Q610" s="2" t="n">
        <x:f>IF(OR(J610="positive",J610="negative"),1,0)</x:f>
        <x:v>1</x:v>
      </x:c>
    </x:row>
    <x:row r="611" ht="15">
      <x:c r="A611" s="2" t="s">
        <x:v>53</x:v>
      </x:c>
      <x:c r="B611" s="2" t="s">
        <x:v>237</x:v>
      </x:c>
      <x:c r="C611" s="2">
        <x:v>3</x:v>
      </x:c>
      <x:c r="D611" s="2" t="s">
        <x:v>300</x:v>
      </x:c>
      <x:c r="E611" s="2" t="s">
        <x:v>301</x:v>
      </x:c>
      <x:c r="F611" s="7">
        <x:v>9.1590000000000005E-2</x:v>
      </x:c>
      <x:c r="G611" s="2" t="s">
        <x:v>302</x:v>
      </x:c>
      <x:c r="H611" s="8">
        <x:v>0.45</x:v>
      </x:c>
      <x:c r="I611" s="9" t="n">
        <x:f t="shared" si="9">IFERROR(ABS(F611)/H611,"")</x:f>
        <x:v>0.20353333333333334</x:v>
      </x:c>
      <x:c r="J611" s="2" t="s">
        <x:v>298</x:v>
      </x:c>
      <x:c r="K611" s="8">
        <x:v>0.94003999999999999</x:v>
      </x:c>
      <x:c r="L611" s="2" t="s">
        <x:v>299</x:v>
      </x:c>
      <x:c r="M611" s="2">
        <x:v>1</x:v>
      </x:c>
      <x:c r="N611" s="2" t="s">
        <x:v>79</x:v>
      </x:c>
      <x:c r="O611" s="5">
        <x:v>59.4</x:v>
      </x:c>
      <x:c r="P611" s="2">
        <x:v>427</x:v>
      </x:c>
      <x:c r="Q611" s="2" t="n">
        <x:f>IF(OR(J611="positive",J611="negative"),1,0)</x:f>
        <x:v>1</x:v>
      </x:c>
    </x:row>
    <x:row r="612" ht="15">
      <x:c r="A612" s="2" t="s">
        <x:v>53</x:v>
      </x:c>
      <x:c r="B612" s="2" t="s">
        <x:v>237</x:v>
      </x:c>
      <x:c r="C612" s="2">
        <x:v>3</x:v>
      </x:c>
      <x:c r="D612" s="2" t="s">
        <x:v>18</x:v>
      </x:c>
      <x:c r="E612" s="2" t="s">
        <x:v>303</x:v>
      </x:c>
      <x:c r="F612" s="7">
        <x:v>-3.0030000000000001E-2</x:v>
      </x:c>
      <x:c r="G612" s="2" t="s">
        <x:v>304</x:v>
      </x:c>
      <x:c r="H612" s="8">
        <x:v>7.4999999999999997E-2</x:v>
      </x:c>
      <x:c r="I612" s="9" t="n">
        <x:f t="shared" si="9">IFERROR(ABS(F612)/H612,"")</x:f>
        <x:v>0.40040000000000003</x:v>
      </x:c>
      <x:c r="J612" s="2" t="s">
        <x:v>298</x:v>
      </x:c>
      <x:c r="K612" s="8">
        <x:v>0.93167999999999995</x:v>
      </x:c>
      <x:c r="L612" s="2" t="s">
        <x:v>299</x:v>
      </x:c>
      <x:c r="M612" s="2">
        <x:v>1</x:v>
      </x:c>
      <x:c r="N612" s="2" t="s">
        <x:v>79</x:v>
      </x:c>
      <x:c r="O612" s="5">
        <x:v>59.4</x:v>
      </x:c>
      <x:c r="P612" s="2">
        <x:v>427</x:v>
      </x:c>
      <x:c r="Q612" s="2" t="n">
        <x:f>IF(OR(J612="positive",J612="negative"),1,0)</x:f>
        <x:v>1</x:v>
      </x:c>
    </x:row>
    <x:row r="613" ht="15">
      <x:c r="A613" s="2" t="s">
        <x:v>53</x:v>
      </x:c>
      <x:c r="B613" s="2" t="s">
        <x:v>237</x:v>
      </x:c>
      <x:c r="C613" s="2">
        <x:v>3</x:v>
      </x:c>
      <x:c r="D613" s="2" t="s">
        <x:v>305</x:v>
      </x:c>
      <x:c r="E613" s="2" t="s">
        <x:v>306</x:v>
      </x:c>
      <x:c r="F613" s="7">
        <x:v>-4.2900000000000001E-2</x:v>
      </x:c>
      <x:c r="G613" s="2" t="s">
        <x:v>304</x:v>
      </x:c>
      <x:c r="H613" s="8">
        <x:v>0.3</x:v>
      </x:c>
      <x:c r="I613" s="9" t="n">
        <x:f t="shared" si="9">IFERROR(ABS(F613)/H613,"")</x:f>
        <x:v>0.14300000000000002</x:v>
      </x:c>
      <x:c r="J613" s="2" t="s">
        <x:v>298</x:v>
      </x:c>
      <x:c r="K613" s="8">
        <x:v>0.94635999999999998</x:v>
      </x:c>
      <x:c r="L613" s="2" t="s">
        <x:v>299</x:v>
      </x:c>
      <x:c r="M613" s="2">
        <x:v>1</x:v>
      </x:c>
      <x:c r="N613" s="2" t="s">
        <x:v>79</x:v>
      </x:c>
      <x:c r="O613" s="5">
        <x:v>59.4</x:v>
      </x:c>
      <x:c r="P613" s="2">
        <x:v>427</x:v>
      </x:c>
      <x:c r="Q613" s="2" t="n">
        <x:f>IF(OR(J613="positive",J613="negative"),1,0)</x:f>
        <x:v>1</x:v>
      </x:c>
    </x:row>
    <x:row r="614" ht="15">
      <x:c r="A614" s="2" t="s">
        <x:v>53</x:v>
      </x:c>
      <x:c r="B614" s="2" t="s">
        <x:v>238</x:v>
      </x:c>
      <x:c r="C614" s="2">
        <x:v>4</x:v>
      </x:c>
      <x:c r="D614" s="2" t="s">
        <x:v>295</x:v>
      </x:c>
      <x:c r="E614" s="2" t="s">
        <x:v>296</x:v>
      </x:c>
      <x:c r="F614" s="7">
        <x:v>0.73895</x:v>
      </x:c>
      <x:c r="G614" s="2" t="s">
        <x:v>297</x:v>
      </x:c>
      <x:c r="H614" s="8">
        <x:v>3.5</x:v>
      </x:c>
      <x:c r="I614" s="9" t="n">
        <x:f t="shared" si="9">IFERROR(ABS(F614)/H614,"")</x:f>
        <x:v>0.21112857142857142</x:v>
      </x:c>
      <x:c r="J614" s="2" t="s">
        <x:v>298</x:v>
      </x:c>
      <x:c r="K614" s="8">
        <x:v>0.96094999999999997</x:v>
      </x:c>
      <x:c r="L614" s="2" t="s">
        <x:v>299</x:v>
      </x:c>
      <x:c r="M614" s="2">
        <x:v>1</x:v>
      </x:c>
      <x:c r="N614" s="2" t="s">
        <x:v>79</x:v>
      </x:c>
      <x:c r="O614" s="5">
        <x:v>56</x:v>
      </x:c>
      <x:c r="P614" s="2">
        <x:v>392</x:v>
      </x:c>
      <x:c r="Q614" s="2" t="n">
        <x:f>IF(OR(J614="positive",J614="negative"),1,0)</x:f>
        <x:v>1</x:v>
      </x:c>
    </x:row>
    <x:row r="615" ht="15">
      <x:c r="A615" s="2" t="s">
        <x:v>53</x:v>
      </x:c>
      <x:c r="B615" s="2" t="s">
        <x:v>238</x:v>
      </x:c>
      <x:c r="C615" s="2">
        <x:v>4</x:v>
      </x:c>
      <x:c r="D615" s="2" t="s">
        <x:v>300</x:v>
      </x:c>
      <x:c r="E615" s="2" t="s">
        <x:v>301</x:v>
      </x:c>
      <x:c r="F615" s="7">
        <x:v>7.1389999999999995E-2</x:v>
      </x:c>
      <x:c r="G615" s="2" t="s">
        <x:v>302</x:v>
      </x:c>
      <x:c r="H615" s="8">
        <x:v>0.45</x:v>
      </x:c>
      <x:c r="I615" s="9" t="n">
        <x:f t="shared" si="9">IFERROR(ABS(F615)/H615,"")</x:f>
        <x:v>0.15864444444444442</x:v>
      </x:c>
      <x:c r="J615" s="2" t="s">
        <x:v>298</x:v>
      </x:c>
      <x:c r="K615" s="8">
        <x:v>0.92074</x:v>
      </x:c>
      <x:c r="L615" s="2" t="s">
        <x:v>299</x:v>
      </x:c>
      <x:c r="M615" s="2">
        <x:v>1</x:v>
      </x:c>
      <x:c r="N615" s="2" t="s">
        <x:v>79</x:v>
      </x:c>
      <x:c r="O615" s="5">
        <x:v>56</x:v>
      </x:c>
      <x:c r="P615" s="2">
        <x:v>392</x:v>
      </x:c>
      <x:c r="Q615" s="2" t="n">
        <x:f>IF(OR(J615="positive",J615="negative"),1,0)</x:f>
        <x:v>1</x:v>
      </x:c>
    </x:row>
    <x:row r="616" ht="15">
      <x:c r="A616" s="2" t="s">
        <x:v>53</x:v>
      </x:c>
      <x:c r="B616" s="2" t="s">
        <x:v>238</x:v>
      </x:c>
      <x:c r="C616" s="2">
        <x:v>4</x:v>
      </x:c>
      <x:c r="D616" s="2" t="s">
        <x:v>18</x:v>
      </x:c>
      <x:c r="E616" s="2" t="s">
        <x:v>303</x:v>
      </x:c>
      <x:c r="F616" s="7">
        <x:v>-1.8880000000000001E-2</x:v>
      </x:c>
      <x:c r="G616" s="2" t="s">
        <x:v>304</x:v>
      </x:c>
      <x:c r="H616" s="8">
        <x:v>7.4999999999999997E-2</x:v>
      </x:c>
      <x:c r="I616" s="9" t="n">
        <x:f t="shared" si="9">IFERROR(ABS(F616)/H616,"")</x:f>
        <x:v>0.25173333333333336</x:v>
      </x:c>
      <x:c r="J616" s="2" t="s">
        <x:v>298</x:v>
      </x:c>
      <x:c r="K616" s="8">
        <x:v>0.96279000000000003</x:v>
      </x:c>
      <x:c r="L616" s="2" t="s">
        <x:v>299</x:v>
      </x:c>
      <x:c r="M616" s="2">
        <x:v>1</x:v>
      </x:c>
      <x:c r="N616" s="2" t="s">
        <x:v>79</x:v>
      </x:c>
      <x:c r="O616" s="5">
        <x:v>56</x:v>
      </x:c>
      <x:c r="P616" s="2">
        <x:v>392</x:v>
      </x:c>
      <x:c r="Q616" s="2" t="n">
        <x:f>IF(OR(J616="positive",J616="negative"),1,0)</x:f>
        <x:v>1</x:v>
      </x:c>
    </x:row>
    <x:row r="617" ht="15">
      <x:c r="A617" s="2" t="s">
        <x:v>53</x:v>
      </x:c>
      <x:c r="B617" s="2" t="s">
        <x:v>238</x:v>
      </x:c>
      <x:c r="C617" s="2">
        <x:v>4</x:v>
      </x:c>
      <x:c r="D617" s="2" t="s">
        <x:v>305</x:v>
      </x:c>
      <x:c r="E617" s="2" t="s">
        <x:v>306</x:v>
      </x:c>
      <x:c r="F617" s="7">
        <x:v>-7.9500000000000005E-3</x:v>
      </x:c>
      <x:c r="G617" s="2" t="s">
        <x:v>304</x:v>
      </x:c>
      <x:c r="H617" s="8">
        <x:v>0.3</x:v>
      </x:c>
      <x:c r="I617" s="9" t="n">
        <x:f t="shared" si="9">IFERROR(ABS(F617)/H617,"")</x:f>
        <x:v>0.026500000000000003</x:v>
      </x:c>
      <x:c r="J617" s="2" t="s">
        <x:v>298</x:v>
      </x:c>
      <x:c r="K617" s="8">
        <x:v>0.9113</x:v>
      </x:c>
      <x:c r="L617" s="2" t="s">
        <x:v>299</x:v>
      </x:c>
      <x:c r="M617" s="2">
        <x:v>1</x:v>
      </x:c>
      <x:c r="N617" s="2" t="s">
        <x:v>79</x:v>
      </x:c>
      <x:c r="O617" s="5">
        <x:v>56</x:v>
      </x:c>
      <x:c r="P617" s="2">
        <x:v>392</x:v>
      </x:c>
      <x:c r="Q617" s="2" t="n">
        <x:f>IF(OR(J617="positive",J617="negative"),1,0)</x:f>
        <x:v>1</x:v>
      </x:c>
    </x:row>
    <x:row r="618" ht="15">
      <x:c r="A618" s="2" t="s">
        <x:v>53</x:v>
      </x:c>
      <x:c r="B618" s="2" t="s">
        <x:v>239</x:v>
      </x:c>
      <x:c r="C618" s="2">
        <x:v>5</x:v>
      </x:c>
      <x:c r="D618" s="2" t="s">
        <x:v>295</x:v>
      </x:c>
      <x:c r="E618" s="2" t="s">
        <x:v>296</x:v>
      </x:c>
      <x:c r="F618" s="7">
        <x:v>0.44724999999999998</x:v>
      </x:c>
      <x:c r="G618" s="2" t="s">
        <x:v>297</x:v>
      </x:c>
      <x:c r="H618" s="8">
        <x:v>3.5</x:v>
      </x:c>
      <x:c r="I618" s="9" t="n">
        <x:f t="shared" si="9">IFERROR(ABS(F618)/H618,"")</x:f>
        <x:v>0.12778571428571428</x:v>
      </x:c>
      <x:c r="J618" s="2" t="s">
        <x:v>298</x:v>
      </x:c>
      <x:c r="K618" s="8">
        <x:v>0.91408999999999996</x:v>
      </x:c>
      <x:c r="L618" s="2" t="s">
        <x:v>299</x:v>
      </x:c>
      <x:c r="M618" s="2">
        <x:v>1</x:v>
      </x:c>
      <x:c r="N618" s="2" t="s">
        <x:v>79</x:v>
      </x:c>
      <x:c r="O618" s="5">
        <x:v>58.7</x:v>
      </x:c>
      <x:c r="P618" s="2">
        <x:v>364</x:v>
      </x:c>
      <x:c r="Q618" s="2" t="n">
        <x:f>IF(OR(J618="positive",J618="negative"),1,0)</x:f>
        <x:v>1</x:v>
      </x:c>
    </x:row>
    <x:row r="619" ht="15">
      <x:c r="A619" s="2" t="s">
        <x:v>53</x:v>
      </x:c>
      <x:c r="B619" s="2" t="s">
        <x:v>239</x:v>
      </x:c>
      <x:c r="C619" s="2">
        <x:v>5</x:v>
      </x:c>
      <x:c r="D619" s="2" t="s">
        <x:v>300</x:v>
      </x:c>
      <x:c r="E619" s="2" t="s">
        <x:v>301</x:v>
      </x:c>
      <x:c r="F619" s="7">
        <x:v>5.7149999999999999E-2</x:v>
      </x:c>
      <x:c r="G619" s="2" t="s">
        <x:v>302</x:v>
      </x:c>
      <x:c r="H619" s="8">
        <x:v>0.45</x:v>
      </x:c>
      <x:c r="I619" s="9" t="n">
        <x:f t="shared" si="9">IFERROR(ABS(F619)/H619,"")</x:f>
        <x:v>0.127</x:v>
      </x:c>
      <x:c r="J619" s="2" t="s">
        <x:v>298</x:v>
      </x:c>
      <x:c r="K619" s="8">
        <x:v>0.92252000000000001</x:v>
      </x:c>
      <x:c r="L619" s="2" t="s">
        <x:v>299</x:v>
      </x:c>
      <x:c r="M619" s="2">
        <x:v>1</x:v>
      </x:c>
      <x:c r="N619" s="2" t="s">
        <x:v>79</x:v>
      </x:c>
      <x:c r="O619" s="5">
        <x:v>58.7</x:v>
      </x:c>
      <x:c r="P619" s="2">
        <x:v>364</x:v>
      </x:c>
      <x:c r="Q619" s="2" t="n">
        <x:f>IF(OR(J619="positive",J619="negative"),1,0)</x:f>
        <x:v>1</x:v>
      </x:c>
    </x:row>
    <x:row r="620" ht="15">
      <x:c r="A620" s="2" t="s">
        <x:v>53</x:v>
      </x:c>
      <x:c r="B620" s="2" t="s">
        <x:v>239</x:v>
      </x:c>
      <x:c r="C620" s="2">
        <x:v>5</x:v>
      </x:c>
      <x:c r="D620" s="2" t="s">
        <x:v>18</x:v>
      </x:c>
      <x:c r="E620" s="2" t="s">
        <x:v>303</x:v>
      </x:c>
      <x:c r="F620" s="7">
        <x:v>-1.7399999999999999E-2</x:v>
      </x:c>
      <x:c r="G620" s="2" t="s">
        <x:v>304</x:v>
      </x:c>
      <x:c r="H620" s="8">
        <x:v>7.4999999999999997E-2</x:v>
      </x:c>
      <x:c r="I620" s="9" t="n">
        <x:f t="shared" si="9">IFERROR(ABS(F620)/H620,"")</x:f>
        <x:v>0.23199999999999998</x:v>
      </x:c>
      <x:c r="J620" s="2" t="s">
        <x:v>298</x:v>
      </x:c>
      <x:c r="K620" s="8">
        <x:v>0.95706000000000002</x:v>
      </x:c>
      <x:c r="L620" s="2" t="s">
        <x:v>299</x:v>
      </x:c>
      <x:c r="M620" s="2">
        <x:v>1</x:v>
      </x:c>
      <x:c r="N620" s="2" t="s">
        <x:v>79</x:v>
      </x:c>
      <x:c r="O620" s="5">
        <x:v>58.7</x:v>
      </x:c>
      <x:c r="P620" s="2">
        <x:v>364</x:v>
      </x:c>
      <x:c r="Q620" s="2" t="n">
        <x:f>IF(OR(J620="positive",J620="negative"),1,0)</x:f>
        <x:v>1</x:v>
      </x:c>
    </x:row>
    <x:row r="621" ht="15">
      <x:c r="A621" s="2" t="s">
        <x:v>53</x:v>
      </x:c>
      <x:c r="B621" s="2" t="s">
        <x:v>239</x:v>
      </x:c>
      <x:c r="C621" s="2">
        <x:v>5</x:v>
      </x:c>
      <x:c r="D621" s="2" t="s">
        <x:v>305</x:v>
      </x:c>
      <x:c r="E621" s="2" t="s">
        <x:v>306</x:v>
      </x:c>
      <x:c r="F621" s="7">
        <x:v>-3.243E-2</x:v>
      </x:c>
      <x:c r="G621" s="2" t="s">
        <x:v>304</x:v>
      </x:c>
      <x:c r="H621" s="8">
        <x:v>0.3</x:v>
      </x:c>
      <x:c r="I621" s="9" t="n">
        <x:f t="shared" si="9">IFERROR(ABS(F621)/H621,"")</x:f>
        <x:v>0.1081</x:v>
      </x:c>
      <x:c r="J621" s="2" t="s">
        <x:v>298</x:v>
      </x:c>
      <x:c r="K621" s="8">
        <x:v>0.93118000000000001</x:v>
      </x:c>
      <x:c r="L621" s="2" t="s">
        <x:v>299</x:v>
      </x:c>
      <x:c r="M621" s="2">
        <x:v>1</x:v>
      </x:c>
      <x:c r="N621" s="2" t="s">
        <x:v>79</x:v>
      </x:c>
      <x:c r="O621" s="5">
        <x:v>58.7</x:v>
      </x:c>
      <x:c r="P621" s="2">
        <x:v>364</x:v>
      </x:c>
      <x:c r="Q621" s="2" t="n">
        <x:f>IF(OR(J621="positive",J621="negative"),1,0)</x:f>
        <x:v>1</x:v>
      </x:c>
    </x:row>
    <x:row r="622" ht="15">
      <x:c r="A622" s="2" t="s">
        <x:v>54</x:v>
      </x:c>
      <x:c r="B622" s="2" t="s">
        <x:v>240</x:v>
      </x:c>
      <x:c r="C622" s="2">
        <x:v>1</x:v>
      </x:c>
      <x:c r="D622" s="2" t="s">
        <x:v>295</x:v>
      </x:c>
      <x:c r="E622" s="2" t="s">
        <x:v>296</x:v>
      </x:c>
      <x:c r="F622" s="7">
        <x:v>0.39700000000000002</x:v>
      </x:c>
      <x:c r="G622" s="2" t="s">
        <x:v>297</x:v>
      </x:c>
      <x:c r="H622" s="8">
        <x:v>3.5</x:v>
      </x:c>
      <x:c r="I622" s="9" t="n">
        <x:f t="shared" si="9">IFERROR(ABS(F622)/H622,"")</x:f>
        <x:v>0.11342857142857143</x:v>
      </x:c>
      <x:c r="J622" s="2" t="s">
        <x:v>298</x:v>
      </x:c>
      <x:c r="K622" s="8">
        <x:v>0.95884999999999998</x:v>
      </x:c>
      <x:c r="L622" s="2" t="s">
        <x:v>299</x:v>
      </x:c>
      <x:c r="M622" s="2">
        <x:v>1</x:v>
      </x:c>
      <x:c r="N622" s="2" t="s">
        <x:v>79</x:v>
      </x:c>
      <x:c r="O622" s="5">
        <x:v>61.4</x:v>
      </x:c>
      <x:c r="P622" s="2">
        <x:v>231</x:v>
      </x:c>
      <x:c r="Q622" s="2" t="n">
        <x:f>IF(OR(J622="positive",J622="negative"),1,0)</x:f>
        <x:v>1</x:v>
      </x:c>
    </x:row>
    <x:row r="623" ht="15">
      <x:c r="A623" s="2" t="s">
        <x:v>54</x:v>
      </x:c>
      <x:c r="B623" s="2" t="s">
        <x:v>240</x:v>
      </x:c>
      <x:c r="C623" s="2">
        <x:v>1</x:v>
      </x:c>
      <x:c r="D623" s="2" t="s">
        <x:v>300</x:v>
      </x:c>
      <x:c r="E623" s="2" t="s">
        <x:v>301</x:v>
      </x:c>
      <x:c r="F623" s="7">
        <x:v>0.11187999999999999</x:v>
      </x:c>
      <x:c r="G623" s="2" t="s">
        <x:v>302</x:v>
      </x:c>
      <x:c r="H623" s="8">
        <x:v>0.45</x:v>
      </x:c>
      <x:c r="I623" s="9" t="n">
        <x:f t="shared" si="9">IFERROR(ABS(F623)/H623,"")</x:f>
        <x:v>0.2486222222222222</x:v>
      </x:c>
      <x:c r="J623" s="2" t="s">
        <x:v>298</x:v>
      </x:c>
      <x:c r="K623" s="8">
        <x:v>0.97528000000000004</x:v>
      </x:c>
      <x:c r="L623" s="2" t="s">
        <x:v>299</x:v>
      </x:c>
      <x:c r="M623" s="2">
        <x:v>1</x:v>
      </x:c>
      <x:c r="N623" s="2" t="s">
        <x:v>79</x:v>
      </x:c>
      <x:c r="O623" s="5">
        <x:v>61.4</x:v>
      </x:c>
      <x:c r="P623" s="2">
        <x:v>231</x:v>
      </x:c>
      <x:c r="Q623" s="2" t="n">
        <x:f>IF(OR(J623="positive",J623="negative"),1,0)</x:f>
        <x:v>1</x:v>
      </x:c>
    </x:row>
    <x:row r="624" ht="15">
      <x:c r="A624" s="2" t="s">
        <x:v>54</x:v>
      </x:c>
      <x:c r="B624" s="2" t="s">
        <x:v>240</x:v>
      </x:c>
      <x:c r="C624" s="2">
        <x:v>1</x:v>
      </x:c>
      <x:c r="D624" s="2" t="s">
        <x:v>18</x:v>
      </x:c>
      <x:c r="E624" s="2" t="s">
        <x:v>303</x:v>
      </x:c>
      <x:c r="F624" s="7">
        <x:v>-1.0460000000000001E-2</x:v>
      </x:c>
      <x:c r="G624" s="2" t="s">
        <x:v>304</x:v>
      </x:c>
      <x:c r="H624" s="8">
        <x:v>7.4999999999999997E-2</x:v>
      </x:c>
      <x:c r="I624" s="9" t="n">
        <x:f t="shared" si="9">IFERROR(ABS(F624)/H624,"")</x:f>
        <x:v>0.13946666666666668</x:v>
      </x:c>
      <x:c r="J624" s="2" t="s">
        <x:v>298</x:v>
      </x:c>
      <x:c r="K624" s="8">
        <x:v>0.93955999999999995</x:v>
      </x:c>
      <x:c r="L624" s="2" t="s">
        <x:v>299</x:v>
      </x:c>
      <x:c r="M624" s="2">
        <x:v>1</x:v>
      </x:c>
      <x:c r="N624" s="2" t="s">
        <x:v>79</x:v>
      </x:c>
      <x:c r="O624" s="5">
        <x:v>61.4</x:v>
      </x:c>
      <x:c r="P624" s="2">
        <x:v>231</x:v>
      </x:c>
      <x:c r="Q624" s="2" t="n">
        <x:f>IF(OR(J624="positive",J624="negative"),1,0)</x:f>
        <x:v>1</x:v>
      </x:c>
    </x:row>
    <x:row r="625" ht="15">
      <x:c r="A625" s="2" t="s">
        <x:v>54</x:v>
      </x:c>
      <x:c r="B625" s="2" t="s">
        <x:v>240</x:v>
      </x:c>
      <x:c r="C625" s="2">
        <x:v>1</x:v>
      </x:c>
      <x:c r="D625" s="2" t="s">
        <x:v>305</x:v>
      </x:c>
      <x:c r="E625" s="2" t="s">
        <x:v>306</x:v>
      </x:c>
      <x:c r="F625" s="7">
        <x:v>-1.4E-2</x:v>
      </x:c>
      <x:c r="G625" s="2" t="s">
        <x:v>304</x:v>
      </x:c>
      <x:c r="H625" s="8">
        <x:v>0.3</x:v>
      </x:c>
      <x:c r="I625" s="9" t="n">
        <x:f t="shared" si="9">IFERROR(ABS(F625)/H625,"")</x:f>
        <x:v>0.04666666666666667</x:v>
      </x:c>
      <x:c r="J625" s="2" t="s">
        <x:v>298</x:v>
      </x:c>
      <x:c r="K625" s="8">
        <x:v>0.90310000000000001</x:v>
      </x:c>
      <x:c r="L625" s="2" t="s">
        <x:v>299</x:v>
      </x:c>
      <x:c r="M625" s="2">
        <x:v>1</x:v>
      </x:c>
      <x:c r="N625" s="2" t="s">
        <x:v>79</x:v>
      </x:c>
      <x:c r="O625" s="5">
        <x:v>61.4</x:v>
      </x:c>
      <x:c r="P625" s="2">
        <x:v>231</x:v>
      </x:c>
      <x:c r="Q625" s="2" t="n">
        <x:f>IF(OR(J625="positive",J625="negative"),1,0)</x:f>
        <x:v>1</x:v>
      </x:c>
    </x:row>
    <x:row r="626" ht="15">
      <x:c r="A626" s="2" t="s">
        <x:v>54</x:v>
      </x:c>
      <x:c r="B626" s="2" t="s">
        <x:v>241</x:v>
      </x:c>
      <x:c r="C626" s="2">
        <x:v>2</x:v>
      </x:c>
      <x:c r="D626" s="2" t="s">
        <x:v>295</x:v>
      </x:c>
      <x:c r="E626" s="2" t="s">
        <x:v>296</x:v>
      </x:c>
      <x:c r="F626" s="7">
        <x:v>0.37306</x:v>
      </x:c>
      <x:c r="G626" s="2" t="s">
        <x:v>297</x:v>
      </x:c>
      <x:c r="H626" s="8">
        <x:v>3.5</x:v>
      </x:c>
      <x:c r="I626" s="9" t="n">
        <x:f t="shared" si="9">IFERROR(ABS(F626)/H626,"")</x:f>
        <x:v>0.10658857142857144</x:v>
      </x:c>
      <x:c r="J626" s="2" t="s">
        <x:v>298</x:v>
      </x:c>
      <x:c r="K626" s="8">
        <x:v>0.89132999999999996</x:v>
      </x:c>
      <x:c r="L626" s="2" t="s">
        <x:v>299</x:v>
      </x:c>
      <x:c r="M626" s="2">
        <x:v>1</x:v>
      </x:c>
      <x:c r="N626" s="2" t="s">
        <x:v>79</x:v>
      </x:c>
      <x:c r="O626" s="5">
        <x:v>65.5</x:v>
      </x:c>
      <x:c r="P626" s="2">
        <x:v>557</x:v>
      </x:c>
      <x:c r="Q626" s="2" t="n">
        <x:f>IF(OR(J626="positive",J626="negative"),1,0)</x:f>
        <x:v>1</x:v>
      </x:c>
    </x:row>
    <x:row r="627" ht="15">
      <x:c r="A627" s="2" t="s">
        <x:v>54</x:v>
      </x:c>
      <x:c r="B627" s="2" t="s">
        <x:v>241</x:v>
      </x:c>
      <x:c r="C627" s="2">
        <x:v>2</x:v>
      </x:c>
      <x:c r="D627" s="2" t="s">
        <x:v>300</x:v>
      </x:c>
      <x:c r="E627" s="2" t="s">
        <x:v>301</x:v>
      </x:c>
      <x:c r="F627" s="7">
        <x:v>0.1331</x:v>
      </x:c>
      <x:c r="G627" s="2" t="s">
        <x:v>302</x:v>
      </x:c>
      <x:c r="H627" s="8">
        <x:v>0.45</x:v>
      </x:c>
      <x:c r="I627" s="9" t="n">
        <x:f t="shared" si="9">IFERROR(ABS(F627)/H627,"")</x:f>
        <x:v>0.29577777777777775</x:v>
      </x:c>
      <x:c r="J627" s="2" t="s">
        <x:v>298</x:v>
      </x:c>
      <x:c r="K627" s="8">
        <x:v>0.93215999999999999</x:v>
      </x:c>
      <x:c r="L627" s="2" t="s">
        <x:v>299</x:v>
      </x:c>
      <x:c r="M627" s="2">
        <x:v>1</x:v>
      </x:c>
      <x:c r="N627" s="2" t="s">
        <x:v>79</x:v>
      </x:c>
      <x:c r="O627" s="5">
        <x:v>65.5</x:v>
      </x:c>
      <x:c r="P627" s="2">
        <x:v>557</x:v>
      </x:c>
      <x:c r="Q627" s="2" t="n">
        <x:f>IF(OR(J627="positive",J627="negative"),1,0)</x:f>
        <x:v>1</x:v>
      </x:c>
    </x:row>
    <x:row r="628" ht="15">
      <x:c r="A628" s="2" t="s">
        <x:v>54</x:v>
      </x:c>
      <x:c r="B628" s="2" t="s">
        <x:v>241</x:v>
      </x:c>
      <x:c r="C628" s="2">
        <x:v>2</x:v>
      </x:c>
      <x:c r="D628" s="2" t="s">
        <x:v>18</x:v>
      </x:c>
      <x:c r="E628" s="2" t="s">
        <x:v>303</x:v>
      </x:c>
      <x:c r="F628" s="7">
        <x:v>-3.0400000000000002E-3</x:v>
      </x:c>
      <x:c r="G628" s="2" t="s">
        <x:v>304</x:v>
      </x:c>
      <x:c r="H628" s="8">
        <x:v>7.4999999999999997E-2</x:v>
      </x:c>
      <x:c r="I628" s="9" t="n">
        <x:f t="shared" si="9">IFERROR(ABS(F628)/H628,"")</x:f>
        <x:v>0.04053333333333334</x:v>
      </x:c>
      <x:c r="J628" s="2" t="s">
        <x:v>298</x:v>
      </x:c>
      <x:c r="K628" s="8">
        <x:v>0.97521999999999998</x:v>
      </x:c>
      <x:c r="L628" s="2" t="s">
        <x:v>299</x:v>
      </x:c>
      <x:c r="M628" s="2">
        <x:v>1</x:v>
      </x:c>
      <x:c r="N628" s="2" t="s">
        <x:v>79</x:v>
      </x:c>
      <x:c r="O628" s="5">
        <x:v>65.5</x:v>
      </x:c>
      <x:c r="P628" s="2">
        <x:v>557</x:v>
      </x:c>
      <x:c r="Q628" s="2" t="n">
        <x:f>IF(OR(J628="positive",J628="negative"),1,0)</x:f>
        <x:v>1</x:v>
      </x:c>
    </x:row>
    <x:row r="629" ht="15">
      <x:c r="A629" s="2" t="s">
        <x:v>54</x:v>
      </x:c>
      <x:c r="B629" s="2" t="s">
        <x:v>241</x:v>
      </x:c>
      <x:c r="C629" s="2">
        <x:v>2</x:v>
      </x:c>
      <x:c r="D629" s="2" t="s">
        <x:v>305</x:v>
      </x:c>
      <x:c r="E629" s="2" t="s">
        <x:v>306</x:v>
      </x:c>
      <x:c r="F629" s="7">
        <x:v>1.3690000000000001E-2</x:v>
      </x:c>
      <x:c r="G629" s="2" t="s">
        <x:v>304</x:v>
      </x:c>
      <x:c r="H629" s="8">
        <x:v>0.3</x:v>
      </x:c>
      <x:c r="I629" s="9" t="n">
        <x:f t="shared" si="9">IFERROR(ABS(F629)/H629,"")</x:f>
        <x:v>0.04563333333333334</x:v>
      </x:c>
      <x:c r="J629" s="2" t="s">
        <x:v>298</x:v>
      </x:c>
      <x:c r="K629" s="8">
        <x:v>0.96711999999999998</x:v>
      </x:c>
      <x:c r="L629" s="2" t="s">
        <x:v>299</x:v>
      </x:c>
      <x:c r="M629" s="2">
        <x:v>1</x:v>
      </x:c>
      <x:c r="N629" s="2" t="s">
        <x:v>79</x:v>
      </x:c>
      <x:c r="O629" s="5">
        <x:v>65.5</x:v>
      </x:c>
      <x:c r="P629" s="2">
        <x:v>557</x:v>
      </x:c>
      <x:c r="Q629" s="2" t="n">
        <x:f>IF(OR(J629="positive",J629="negative"),1,0)</x:f>
        <x:v>1</x:v>
      </x:c>
    </x:row>
    <x:row r="630" ht="15">
      <x:c r="A630" s="2" t="s">
        <x:v>54</x:v>
      </x:c>
      <x:c r="B630" s="2" t="s">
        <x:v>242</x:v>
      </x:c>
      <x:c r="C630" s="2">
        <x:v>3</x:v>
      </x:c>
      <x:c r="D630" s="2" t="s">
        <x:v>295</x:v>
      </x:c>
      <x:c r="E630" s="2" t="s">
        <x:v>296</x:v>
      </x:c>
      <x:c r="F630" s="7">
        <x:v>0.42266999999999999</x:v>
      </x:c>
      <x:c r="G630" s="2" t="s">
        <x:v>297</x:v>
      </x:c>
      <x:c r="H630" s="8">
        <x:v>3.5</x:v>
      </x:c>
      <x:c r="I630" s="9" t="n">
        <x:f t="shared" si="9">IFERROR(ABS(F630)/H630,"")</x:f>
        <x:v>0.12076285714285714</x:v>
      </x:c>
      <x:c r="J630" s="2" t="s">
        <x:v>298</x:v>
      </x:c>
      <x:c r="K630" s="8">
        <x:v>0.93959999999999999</x:v>
      </x:c>
      <x:c r="L630" s="2" t="s">
        <x:v>299</x:v>
      </x:c>
      <x:c r="M630" s="2">
        <x:v>1</x:v>
      </x:c>
      <x:c r="N630" s="2" t="s">
        <x:v>79</x:v>
      </x:c>
      <x:c r="O630" s="5">
        <x:v>58.9</x:v>
      </x:c>
      <x:c r="P630" s="2">
        <x:v>426</x:v>
      </x:c>
      <x:c r="Q630" s="2" t="n">
        <x:f>IF(OR(J630="positive",J630="negative"),1,0)</x:f>
        <x:v>1</x:v>
      </x:c>
    </x:row>
    <x:row r="631" ht="15">
      <x:c r="A631" s="2" t="s">
        <x:v>54</x:v>
      </x:c>
      <x:c r="B631" s="2" t="s">
        <x:v>242</x:v>
      </x:c>
      <x:c r="C631" s="2">
        <x:v>3</x:v>
      </x:c>
      <x:c r="D631" s="2" t="s">
        <x:v>300</x:v>
      </x:c>
      <x:c r="E631" s="2" t="s">
        <x:v>301</x:v>
      </x:c>
      <x:c r="F631" s="7">
        <x:v>8.4820000000000007E-2</x:v>
      </x:c>
      <x:c r="G631" s="2" t="s">
        <x:v>302</x:v>
      </x:c>
      <x:c r="H631" s="8">
        <x:v>0.45</x:v>
      </x:c>
      <x:c r="I631" s="9" t="n">
        <x:f t="shared" si="9">IFERROR(ABS(F631)/H631,"")</x:f>
        <x:v>0.1884888888888889</x:v>
      </x:c>
      <x:c r="J631" s="2" t="s">
        <x:v>298</x:v>
      </x:c>
      <x:c r="K631" s="8">
        <x:v>0.89822999999999997</x:v>
      </x:c>
      <x:c r="L631" s="2" t="s">
        <x:v>299</x:v>
      </x:c>
      <x:c r="M631" s="2">
        <x:v>1</x:v>
      </x:c>
      <x:c r="N631" s="2" t="s">
        <x:v>79</x:v>
      </x:c>
      <x:c r="O631" s="5">
        <x:v>58.9</x:v>
      </x:c>
      <x:c r="P631" s="2">
        <x:v>426</x:v>
      </x:c>
      <x:c r="Q631" s="2" t="n">
        <x:f>IF(OR(J631="positive",J631="negative"),1,0)</x:f>
        <x:v>1</x:v>
      </x:c>
    </x:row>
    <x:row r="632" ht="15">
      <x:c r="A632" s="2" t="s">
        <x:v>54</x:v>
      </x:c>
      <x:c r="B632" s="2" t="s">
        <x:v>242</x:v>
      </x:c>
      <x:c r="C632" s="2">
        <x:v>3</x:v>
      </x:c>
      <x:c r="D632" s="2" t="s">
        <x:v>18</x:v>
      </x:c>
      <x:c r="E632" s="2" t="s">
        <x:v>303</x:v>
      </x:c>
      <x:c r="F632" s="7">
        <x:v>3.7100000000000002E-3</x:v>
      </x:c>
      <x:c r="G632" s="2" t="s">
        <x:v>304</x:v>
      </x:c>
      <x:c r="H632" s="8">
        <x:v>7.4999999999999997E-2</x:v>
      </x:c>
      <x:c r="I632" s="9" t="n">
        <x:f t="shared" si="9">IFERROR(ABS(F632)/H632,"")</x:f>
        <x:v>0.04946666666666667</x:v>
      </x:c>
      <x:c r="J632" s="2" t="s">
        <x:v>298</x:v>
      </x:c>
      <x:c r="K632" s="8">
        <x:v>0.96072000000000002</x:v>
      </x:c>
      <x:c r="L632" s="2" t="s">
        <x:v>299</x:v>
      </x:c>
      <x:c r="M632" s="2">
        <x:v>1</x:v>
      </x:c>
      <x:c r="N632" s="2" t="s">
        <x:v>79</x:v>
      </x:c>
      <x:c r="O632" s="5">
        <x:v>58.9</x:v>
      </x:c>
      <x:c r="P632" s="2">
        <x:v>426</x:v>
      </x:c>
      <x:c r="Q632" s="2" t="n">
        <x:f>IF(OR(J632="positive",J632="negative"),1,0)</x:f>
        <x:v>1</x:v>
      </x:c>
    </x:row>
    <x:row r="633" ht="15">
      <x:c r="A633" s="2" t="s">
        <x:v>54</x:v>
      </x:c>
      <x:c r="B633" s="2" t="s">
        <x:v>242</x:v>
      </x:c>
      <x:c r="C633" s="2">
        <x:v>3</x:v>
      </x:c>
      <x:c r="D633" s="2" t="s">
        <x:v>305</x:v>
      </x:c>
      <x:c r="E633" s="2" t="s">
        <x:v>306</x:v>
      </x:c>
      <x:c r="F633" s="7">
        <x:v>-0.32400000000000001</x:v>
      </x:c>
      <x:c r="G633" s="2" t="s">
        <x:v>304</x:v>
      </x:c>
      <x:c r="H633" s="8">
        <x:v>0.3</x:v>
      </x:c>
      <x:c r="I633" s="9" t="n">
        <x:f t="shared" si="9">IFERROR(ABS(F633)/H633,"")</x:f>
        <x:v>1.08</x:v>
      </x:c>
      <x:c r="J633" s="2" t="s">
        <x:v>310</x:v>
      </x:c>
      <x:c r="K633" s="8">
        <x:v>0.94201000000000001</x:v>
      </x:c>
      <x:c r="L633" s="2" t="s">
        <x:v>311</x:v>
      </x:c>
      <x:c r="M633" s="2">
        <x:v>1</x:v>
      </x:c>
      <x:c r="N633" s="2" t="s">
        <x:v>79</x:v>
      </x:c>
      <x:c r="O633" s="5">
        <x:v>58.9</x:v>
      </x:c>
      <x:c r="P633" s="2">
        <x:v>426</x:v>
      </x:c>
      <x:c r="Q633" s="2" t="n">
        <x:f>IF(OR(J633="positive",J633="negative"),1,0)</x:f>
        <x:v>1</x:v>
      </x:c>
    </x:row>
    <x:row r="634" ht="15">
      <x:c r="A634" s="2" t="s">
        <x:v>54</x:v>
      </x:c>
      <x:c r="B634" s="2" t="s">
        <x:v>243</x:v>
      </x:c>
      <x:c r="C634" s="2">
        <x:v>4</x:v>
      </x:c>
      <x:c r="D634" s="2" t="s">
        <x:v>295</x:v>
      </x:c>
      <x:c r="E634" s="2" t="s">
        <x:v>296</x:v>
      </x:c>
      <x:c r="F634" s="7">
        <x:v>0.30587999999999999</x:v>
      </x:c>
      <x:c r="G634" s="2" t="s">
        <x:v>297</x:v>
      </x:c>
      <x:c r="H634" s="8">
        <x:v>3.5</x:v>
      </x:c>
      <x:c r="I634" s="9" t="n">
        <x:f t="shared" si="9">IFERROR(ABS(F634)/H634,"")</x:f>
        <x:v>0.08739428571428572</x:v>
      </x:c>
      <x:c r="J634" s="2" t="s">
        <x:v>298</x:v>
      </x:c>
      <x:c r="K634" s="8">
        <x:v>0.92161999999999999</x:v>
      </x:c>
      <x:c r="L634" s="2" t="s">
        <x:v>299</x:v>
      </x:c>
      <x:c r="M634" s="2">
        <x:v>1</x:v>
      </x:c>
      <x:c r="N634" s="2" t="s">
        <x:v>79</x:v>
      </x:c>
      <x:c r="O634" s="5">
        <x:v>65.400000000000006</x:v>
      </x:c>
      <x:c r="P634" s="2">
        <x:v>443</x:v>
      </x:c>
      <x:c r="Q634" s="2" t="n">
        <x:f>IF(OR(J634="positive",J634="negative"),1,0)</x:f>
        <x:v>1</x:v>
      </x:c>
    </x:row>
    <x:row r="635" ht="15">
      <x:c r="A635" s="2" t="s">
        <x:v>54</x:v>
      </x:c>
      <x:c r="B635" s="2" t="s">
        <x:v>243</x:v>
      </x:c>
      <x:c r="C635" s="2">
        <x:v>4</x:v>
      </x:c>
      <x:c r="D635" s="2" t="s">
        <x:v>300</x:v>
      </x:c>
      <x:c r="E635" s="2" t="s">
        <x:v>301</x:v>
      </x:c>
      <x:c r="F635" s="7">
        <x:v>0.11273</x:v>
      </x:c>
      <x:c r="G635" s="2" t="s">
        <x:v>302</x:v>
      </x:c>
      <x:c r="H635" s="8">
        <x:v>0.45</x:v>
      </x:c>
      <x:c r="I635" s="9" t="n">
        <x:f t="shared" si="9">IFERROR(ABS(F635)/H635,"")</x:f>
        <x:v>0.2505111111111111</x:v>
      </x:c>
      <x:c r="J635" s="2" t="s">
        <x:v>298</x:v>
      </x:c>
      <x:c r="K635" s="8">
        <x:v>0.98438000000000003</x:v>
      </x:c>
      <x:c r="L635" s="2" t="s">
        <x:v>299</x:v>
      </x:c>
      <x:c r="M635" s="2">
        <x:v>1</x:v>
      </x:c>
      <x:c r="N635" s="2" t="s">
        <x:v>79</x:v>
      </x:c>
      <x:c r="O635" s="5">
        <x:v>65.400000000000006</x:v>
      </x:c>
      <x:c r="P635" s="2">
        <x:v>443</x:v>
      </x:c>
      <x:c r="Q635" s="2" t="n">
        <x:f>IF(OR(J635="positive",J635="negative"),1,0)</x:f>
        <x:v>1</x:v>
      </x:c>
    </x:row>
    <x:row r="636" ht="15">
      <x:c r="A636" s="2" t="s">
        <x:v>54</x:v>
      </x:c>
      <x:c r="B636" s="2" t="s">
        <x:v>243</x:v>
      </x:c>
      <x:c r="C636" s="2">
        <x:v>4</x:v>
      </x:c>
      <x:c r="D636" s="2" t="s">
        <x:v>18</x:v>
      </x:c>
      <x:c r="E636" s="2" t="s">
        <x:v>303</x:v>
      </x:c>
      <x:c r="F636" s="7">
        <x:v>-6.8199999999999997E-3</x:v>
      </x:c>
      <x:c r="G636" s="2" t="s">
        <x:v>304</x:v>
      </x:c>
      <x:c r="H636" s="8">
        <x:v>7.4999999999999997E-2</x:v>
      </x:c>
      <x:c r="I636" s="9" t="n">
        <x:f t="shared" si="9">IFERROR(ABS(F636)/H636,"")</x:f>
        <x:v>0.09093333333333334</x:v>
      </x:c>
      <x:c r="J636" s="2" t="s">
        <x:v>298</x:v>
      </x:c>
      <x:c r="K636" s="8">
        <x:v>0.90886</x:v>
      </x:c>
      <x:c r="L636" s="2" t="s">
        <x:v>299</x:v>
      </x:c>
      <x:c r="M636" s="2">
        <x:v>1</x:v>
      </x:c>
      <x:c r="N636" s="2" t="s">
        <x:v>79</x:v>
      </x:c>
      <x:c r="O636" s="5">
        <x:v>65.400000000000006</x:v>
      </x:c>
      <x:c r="P636" s="2">
        <x:v>443</x:v>
      </x:c>
      <x:c r="Q636" s="2" t="n">
        <x:f>IF(OR(J636="positive",J636="negative"),1,0)</x:f>
        <x:v>1</x:v>
      </x:c>
    </x:row>
    <x:row r="637" ht="15">
      <x:c r="A637" s="2" t="s">
        <x:v>54</x:v>
      </x:c>
      <x:c r="B637" s="2" t="s">
        <x:v>243</x:v>
      </x:c>
      <x:c r="C637" s="2">
        <x:v>4</x:v>
      </x:c>
      <x:c r="D637" s="2" t="s">
        <x:v>305</x:v>
      </x:c>
      <x:c r="E637" s="2" t="s">
        <x:v>306</x:v>
      </x:c>
      <x:c r="F637" s="7">
        <x:v>-3.8699999999999998E-2</x:v>
      </x:c>
      <x:c r="G637" s="2" t="s">
        <x:v>304</x:v>
      </x:c>
      <x:c r="H637" s="8">
        <x:v>0.3</x:v>
      </x:c>
      <x:c r="I637" s="9" t="n">
        <x:f t="shared" si="9">IFERROR(ABS(F637)/H637,"")</x:f>
        <x:v>0.129</x:v>
      </x:c>
      <x:c r="J637" s="2" t="s">
        <x:v>298</x:v>
      </x:c>
      <x:c r="K637" s="8">
        <x:v>0.96641999999999995</x:v>
      </x:c>
      <x:c r="L637" s="2" t="s">
        <x:v>299</x:v>
      </x:c>
      <x:c r="M637" s="2">
        <x:v>1</x:v>
      </x:c>
      <x:c r="N637" s="2" t="s">
        <x:v>79</x:v>
      </x:c>
      <x:c r="O637" s="5">
        <x:v>65.400000000000006</x:v>
      </x:c>
      <x:c r="P637" s="2">
        <x:v>443</x:v>
      </x:c>
      <x:c r="Q637" s="2" t="n">
        <x:f>IF(OR(J637="positive",J637="negative"),1,0)</x:f>
        <x:v>1</x:v>
      </x:c>
    </x:row>
    <x:row r="638" ht="15">
      <x:c r="A638" s="2" t="s">
        <x:v>54</x:v>
      </x:c>
      <x:c r="B638" s="2" t="s">
        <x:v>244</x:v>
      </x:c>
      <x:c r="C638" s="2">
        <x:v>5</x:v>
      </x:c>
      <x:c r="D638" s="2" t="s">
        <x:v>295</x:v>
      </x:c>
      <x:c r="E638" s="2" t="s">
        <x:v>296</x:v>
      </x:c>
      <x:c r="F638" s="7">
        <x:v>0.53996999999999995</x:v>
      </x:c>
      <x:c r="G638" s="2" t="s">
        <x:v>297</x:v>
      </x:c>
      <x:c r="H638" s="8">
        <x:v>3.5</x:v>
      </x:c>
      <x:c r="I638" s="9" t="n">
        <x:f t="shared" si="9">IFERROR(ABS(F638)/H638,"")</x:f>
        <x:v>0.15427714285714283</x:v>
      </x:c>
      <x:c r="J638" s="2" t="s">
        <x:v>298</x:v>
      </x:c>
      <x:c r="K638" s="8">
        <x:v>0.94520999999999999</x:v>
      </x:c>
      <x:c r="L638" s="2" t="s">
        <x:v>299</x:v>
      </x:c>
      <x:c r="M638" s="2">
        <x:v>1</x:v>
      </x:c>
      <x:c r="N638" s="2" t="s">
        <x:v>79</x:v>
      </x:c>
      <x:c r="O638" s="5">
        <x:v>60.7</x:v>
      </x:c>
      <x:c r="P638" s="2">
        <x:v>560</x:v>
      </x:c>
      <x:c r="Q638" s="2" t="n">
        <x:f>IF(OR(J638="positive",J638="negative"),1,0)</x:f>
        <x:v>1</x:v>
      </x:c>
    </x:row>
    <x:row r="639" ht="15">
      <x:c r="A639" s="2" t="s">
        <x:v>54</x:v>
      </x:c>
      <x:c r="B639" s="2" t="s">
        <x:v>244</x:v>
      </x:c>
      <x:c r="C639" s="2">
        <x:v>5</x:v>
      </x:c>
      <x:c r="D639" s="2" t="s">
        <x:v>300</x:v>
      </x:c>
      <x:c r="E639" s="2" t="s">
        <x:v>301</x:v>
      </x:c>
      <x:c r="F639" s="7">
        <x:v>0.10822</x:v>
      </x:c>
      <x:c r="G639" s="2" t="s">
        <x:v>302</x:v>
      </x:c>
      <x:c r="H639" s="8">
        <x:v>0.45</x:v>
      </x:c>
      <x:c r="I639" s="9" t="n">
        <x:f t="shared" si="9">IFERROR(ABS(F639)/H639,"")</x:f>
        <x:v>0.24048888888888886</x:v>
      </x:c>
      <x:c r="J639" s="2" t="s">
        <x:v>298</x:v>
      </x:c>
      <x:c r="K639" s="8">
        <x:v>0.92122000000000004</x:v>
      </x:c>
      <x:c r="L639" s="2" t="s">
        <x:v>299</x:v>
      </x:c>
      <x:c r="M639" s="2">
        <x:v>1</x:v>
      </x:c>
      <x:c r="N639" s="2" t="s">
        <x:v>79</x:v>
      </x:c>
      <x:c r="O639" s="5">
        <x:v>60.7</x:v>
      </x:c>
      <x:c r="P639" s="2">
        <x:v>560</x:v>
      </x:c>
      <x:c r="Q639" s="2" t="n">
        <x:f>IF(OR(J639="positive",J639="negative"),1,0)</x:f>
        <x:v>1</x:v>
      </x:c>
    </x:row>
    <x:row r="640" ht="15">
      <x:c r="A640" s="2" t="s">
        <x:v>54</x:v>
      </x:c>
      <x:c r="B640" s="2" t="s">
        <x:v>244</x:v>
      </x:c>
      <x:c r="C640" s="2">
        <x:v>5</x:v>
      </x:c>
      <x:c r="D640" s="2" t="s">
        <x:v>18</x:v>
      </x:c>
      <x:c r="E640" s="2" t="s">
        <x:v>303</x:v>
      </x:c>
      <x:c r="F640" s="7">
        <x:v>-1.0370000000000001E-2</x:v>
      </x:c>
      <x:c r="G640" s="2" t="s">
        <x:v>304</x:v>
      </x:c>
      <x:c r="H640" s="8">
        <x:v>7.4999999999999997E-2</x:v>
      </x:c>
      <x:c r="I640" s="9" t="n">
        <x:f t="shared" si="9">IFERROR(ABS(F640)/H640,"")</x:f>
        <x:v>0.13826666666666668</x:v>
      </x:c>
      <x:c r="J640" s="2" t="s">
        <x:v>298</x:v>
      </x:c>
      <x:c r="K640" s="8">
        <x:v>0.94094</x:v>
      </x:c>
      <x:c r="L640" s="2" t="s">
        <x:v>299</x:v>
      </x:c>
      <x:c r="M640" s="2">
        <x:v>1</x:v>
      </x:c>
      <x:c r="N640" s="2" t="s">
        <x:v>79</x:v>
      </x:c>
      <x:c r="O640" s="5">
        <x:v>60.7</x:v>
      </x:c>
      <x:c r="P640" s="2">
        <x:v>560</x:v>
      </x:c>
      <x:c r="Q640" s="2" t="n">
        <x:f>IF(OR(J640="positive",J640="negative"),1,0)</x:f>
        <x:v>1</x:v>
      </x:c>
    </x:row>
    <x:row r="641" ht="15">
      <x:c r="A641" s="2" t="s">
        <x:v>54</x:v>
      </x:c>
      <x:c r="B641" s="2" t="s">
        <x:v>244</x:v>
      </x:c>
      <x:c r="C641" s="2">
        <x:v>5</x:v>
      </x:c>
      <x:c r="D641" s="2" t="s">
        <x:v>305</x:v>
      </x:c>
      <x:c r="E641" s="2" t="s">
        <x:v>306</x:v>
      </x:c>
      <x:c r="F641" s="7">
        <x:v>-3.4509999999999999E-2</x:v>
      </x:c>
      <x:c r="G641" s="2" t="s">
        <x:v>304</x:v>
      </x:c>
      <x:c r="H641" s="8">
        <x:v>0.3</x:v>
      </x:c>
      <x:c r="I641" s="9" t="n">
        <x:f t="shared" si="9">IFERROR(ABS(F641)/H641,"")</x:f>
        <x:v>0.11503333333333333</x:v>
      </x:c>
      <x:c r="J641" s="2" t="s">
        <x:v>298</x:v>
      </x:c>
      <x:c r="K641" s="8">
        <x:v>0.93574999999999997</x:v>
      </x:c>
      <x:c r="L641" s="2" t="s">
        <x:v>299</x:v>
      </x:c>
      <x:c r="M641" s="2">
        <x:v>1</x:v>
      </x:c>
      <x:c r="N641" s="2" t="s">
        <x:v>79</x:v>
      </x:c>
      <x:c r="O641" s="5">
        <x:v>60.7</x:v>
      </x:c>
      <x:c r="P641" s="2">
        <x:v>560</x:v>
      </x:c>
      <x:c r="Q641" s="2" t="n">
        <x:f>IF(OR(J641="positive",J641="negative"),1,0)</x:f>
        <x:v>1</x:v>
      </x:c>
    </x:row>
    <x:row r="642" ht="15">
      <x:c r="A642" s="2" t="s">
        <x:v>55</x:v>
      </x:c>
      <x:c r="B642" s="2" t="s">
        <x:v>245</x:v>
      </x:c>
      <x:c r="C642" s="2">
        <x:v>1</x:v>
      </x:c>
      <x:c r="D642" s="2" t="s">
        <x:v>295</x:v>
      </x:c>
      <x:c r="E642" s="2" t="s">
        <x:v>296</x:v>
      </x:c>
      <x:c r="F642" s="7">
        <x:v>0.53154000000000001</x:v>
      </x:c>
      <x:c r="G642" s="2" t="s">
        <x:v>297</x:v>
      </x:c>
      <x:c r="H642" s="8">
        <x:v>3.5</x:v>
      </x:c>
      <x:c r="I642" s="9" t="n">
        <x:f t="shared" ref="I642:I705" si="10">IFERROR(ABS(F642)/H642,"")</x:f>
        <x:v>0.15186857142857144</x:v>
      </x:c>
      <x:c r="J642" s="2" t="s">
        <x:v>298</x:v>
      </x:c>
      <x:c r="K642" s="8">
        <x:v>0.94398000000000004</x:v>
      </x:c>
      <x:c r="L642" s="2" t="s">
        <x:v>299</x:v>
      </x:c>
      <x:c r="M642" s="2">
        <x:v>1</x:v>
      </x:c>
      <x:c r="N642" s="2" t="s">
        <x:v>79</x:v>
      </x:c>
      <x:c r="O642" s="5">
        <x:v>60.9</x:v>
      </x:c>
      <x:c r="P642" s="2">
        <x:v>332</x:v>
      </x:c>
      <x:c r="Q642" s="2" t="n">
        <x:f>IF(OR(J642="positive",J642="negative"),1,0)</x:f>
        <x:v>1</x:v>
      </x:c>
    </x:row>
    <x:row r="643" ht="15">
      <x:c r="A643" s="2" t="s">
        <x:v>55</x:v>
      </x:c>
      <x:c r="B643" s="2" t="s">
        <x:v>245</x:v>
      </x:c>
      <x:c r="C643" s="2">
        <x:v>1</x:v>
      </x:c>
      <x:c r="D643" s="2" t="s">
        <x:v>300</x:v>
      </x:c>
      <x:c r="E643" s="2" t="s">
        <x:v>301</x:v>
      </x:c>
      <x:c r="F643" s="7">
        <x:v>7.4399999999999994E-2</x:v>
      </x:c>
      <x:c r="G643" s="2" t="s">
        <x:v>302</x:v>
      </x:c>
      <x:c r="H643" s="8">
        <x:v>0.45</x:v>
      </x:c>
      <x:c r="I643" s="9" t="n">
        <x:f t="shared" si="10">IFERROR(ABS(F643)/H643,"")</x:f>
        <x:v>0.1653333333333333</x:v>
      </x:c>
      <x:c r="J643" s="2" t="s">
        <x:v>298</x:v>
      </x:c>
      <x:c r="K643" s="8">
        <x:v>0.97477999999999998</x:v>
      </x:c>
      <x:c r="L643" s="2" t="s">
        <x:v>299</x:v>
      </x:c>
      <x:c r="M643" s="2">
        <x:v>1</x:v>
      </x:c>
      <x:c r="N643" s="2" t="s">
        <x:v>79</x:v>
      </x:c>
      <x:c r="O643" s="5">
        <x:v>60.9</x:v>
      </x:c>
      <x:c r="P643" s="2">
        <x:v>332</x:v>
      </x:c>
      <x:c r="Q643" s="2" t="n">
        <x:f>IF(OR(J643="positive",J643="negative"),1,0)</x:f>
        <x:v>1</x:v>
      </x:c>
    </x:row>
    <x:row r="644" ht="15">
      <x:c r="A644" s="2" t="s">
        <x:v>55</x:v>
      </x:c>
      <x:c r="B644" s="2" t="s">
        <x:v>245</x:v>
      </x:c>
      <x:c r="C644" s="2">
        <x:v>1</x:v>
      </x:c>
      <x:c r="D644" s="2" t="s">
        <x:v>18</x:v>
      </x:c>
      <x:c r="E644" s="2" t="s">
        <x:v>303</x:v>
      </x:c>
      <x:c r="F644" s="7">
        <x:v>1.014E-2</x:v>
      </x:c>
      <x:c r="G644" s="2" t="s">
        <x:v>304</x:v>
      </x:c>
      <x:c r="H644" s="8">
        <x:v>7.4999999999999997E-2</x:v>
      </x:c>
      <x:c r="I644" s="9" t="n">
        <x:f t="shared" si="10">IFERROR(ABS(F644)/H644,"")</x:f>
        <x:v>0.13520000000000001</x:v>
      </x:c>
      <x:c r="J644" s="2" t="s">
        <x:v>298</x:v>
      </x:c>
      <x:c r="K644" s="8">
        <x:v>0.93754000000000004</x:v>
      </x:c>
      <x:c r="L644" s="2" t="s">
        <x:v>299</x:v>
      </x:c>
      <x:c r="M644" s="2">
        <x:v>1</x:v>
      </x:c>
      <x:c r="N644" s="2" t="s">
        <x:v>79</x:v>
      </x:c>
      <x:c r="O644" s="5">
        <x:v>60.9</x:v>
      </x:c>
      <x:c r="P644" s="2">
        <x:v>332</x:v>
      </x:c>
      <x:c r="Q644" s="2" t="n">
        <x:f>IF(OR(J644="positive",J644="negative"),1,0)</x:f>
        <x:v>1</x:v>
      </x:c>
    </x:row>
    <x:row r="645" ht="15">
      <x:c r="A645" s="2" t="s">
        <x:v>55</x:v>
      </x:c>
      <x:c r="B645" s="2" t="s">
        <x:v>245</x:v>
      </x:c>
      <x:c r="C645" s="2">
        <x:v>1</x:v>
      </x:c>
      <x:c r="D645" s="2" t="s">
        <x:v>305</x:v>
      </x:c>
      <x:c r="E645" s="2" t="s">
        <x:v>306</x:v>
      </x:c>
      <x:c r="F645" s="7">
        <x:v>2.1299999999999999E-3</x:v>
      </x:c>
      <x:c r="G645" s="2" t="s">
        <x:v>304</x:v>
      </x:c>
      <x:c r="H645" s="8">
        <x:v>0.3</x:v>
      </x:c>
      <x:c r="I645" s="9" t="n">
        <x:f t="shared" si="10">IFERROR(ABS(F645)/H645,"")</x:f>
        <x:v>0.0071</x:v>
      </x:c>
      <x:c r="J645" s="2" t="s">
        <x:v>298</x:v>
      </x:c>
      <x:c r="K645" s="8">
        <x:v>0.94254000000000004</x:v>
      </x:c>
      <x:c r="L645" s="2" t="s">
        <x:v>299</x:v>
      </x:c>
      <x:c r="M645" s="2">
        <x:v>1</x:v>
      </x:c>
      <x:c r="N645" s="2" t="s">
        <x:v>79</x:v>
      </x:c>
      <x:c r="O645" s="5">
        <x:v>60.9</x:v>
      </x:c>
      <x:c r="P645" s="2">
        <x:v>332</x:v>
      </x:c>
      <x:c r="Q645" s="2" t="n">
        <x:f>IF(OR(J645="positive",J645="negative"),1,0)</x:f>
        <x:v>1</x:v>
      </x:c>
    </x:row>
    <x:row r="646" ht="15">
      <x:c r="A646" s="2" t="s">
        <x:v>55</x:v>
      </x:c>
      <x:c r="B646" s="2" t="s">
        <x:v>246</x:v>
      </x:c>
      <x:c r="C646" s="2">
        <x:v>2</x:v>
      </x:c>
      <x:c r="D646" s="2" t="s">
        <x:v>295</x:v>
      </x:c>
      <x:c r="E646" s="2" t="s">
        <x:v>296</x:v>
      </x:c>
      <x:c r="F646" s="7">
        <x:v>0.60785</x:v>
      </x:c>
      <x:c r="G646" s="2" t="s">
        <x:v>297</x:v>
      </x:c>
      <x:c r="H646" s="8">
        <x:v>3.5</x:v>
      </x:c>
      <x:c r="I646" s="9" t="n">
        <x:f t="shared" si="10">IFERROR(ABS(F646)/H646,"")</x:f>
        <x:v>0.17367142857142856</x:v>
      </x:c>
      <x:c r="J646" s="2" t="s">
        <x:v>307</x:v>
      </x:c>
      <x:c r="K646" s="8">
        <x:v>0.41120000000000001</x:v>
      </x:c>
      <x:c r="L646" s="2" t="s">
        <x:v>309</x:v>
      </x:c>
      <x:c r="M646" s="2">
        <x:v>1</x:v>
      </x:c>
      <x:c r="N646" s="2" t="s">
        <x:v>79</x:v>
      </x:c>
      <x:c r="O646" s="5">
        <x:v>60.1</x:v>
      </x:c>
      <x:c r="P646" s="2">
        <x:v>522</x:v>
      </x:c>
      <x:c r="Q646" s="2" t="n">
        <x:f>IF(OR(J646="positive",J646="negative"),1,0)</x:f>
        <x:v>0</x:v>
      </x:c>
    </x:row>
    <x:row r="647" ht="15">
      <x:c r="A647" s="2" t="s">
        <x:v>55</x:v>
      </x:c>
      <x:c r="B647" s="2" t="s">
        <x:v>246</x:v>
      </x:c>
      <x:c r="C647" s="2">
        <x:v>2</x:v>
      </x:c>
      <x:c r="D647" s="2" t="s">
        <x:v>300</x:v>
      </x:c>
      <x:c r="E647" s="2" t="s">
        <x:v>301</x:v>
      </x:c>
      <x:c r="F647" s="7">
        <x:v>9.2189999999999994E-2</x:v>
      </x:c>
      <x:c r="G647" s="2" t="s">
        <x:v>302</x:v>
      </x:c>
      <x:c r="H647" s="8">
        <x:v>0.45</x:v>
      </x:c>
      <x:c r="I647" s="9" t="n">
        <x:f t="shared" si="10">IFERROR(ABS(F647)/H647,"")</x:f>
        <x:v>0.20486666666666664</x:v>
      </x:c>
      <x:c r="J647" s="2" t="s">
        <x:v>298</x:v>
      </x:c>
      <x:c r="K647" s="8">
        <x:v>0.9395</x:v>
      </x:c>
      <x:c r="L647" s="2" t="s">
        <x:v>299</x:v>
      </x:c>
      <x:c r="M647" s="2">
        <x:v>1</x:v>
      </x:c>
      <x:c r="N647" s="2" t="s">
        <x:v>79</x:v>
      </x:c>
      <x:c r="O647" s="5">
        <x:v>60.1</x:v>
      </x:c>
      <x:c r="P647" s="2">
        <x:v>522</x:v>
      </x:c>
      <x:c r="Q647" s="2" t="n">
        <x:f>IF(OR(J647="positive",J647="negative"),1,0)</x:f>
        <x:v>1</x:v>
      </x:c>
    </x:row>
    <x:row r="648" ht="15">
      <x:c r="A648" s="2" t="s">
        <x:v>55</x:v>
      </x:c>
      <x:c r="B648" s="2" t="s">
        <x:v>246</x:v>
      </x:c>
      <x:c r="C648" s="2">
        <x:v>2</x:v>
      </x:c>
      <x:c r="D648" s="2" t="s">
        <x:v>18</x:v>
      </x:c>
      <x:c r="E648" s="2" t="s">
        <x:v>303</x:v>
      </x:c>
      <x:c r="F648" s="7">
        <x:v>1.583E-2</x:v>
      </x:c>
      <x:c r="G648" s="2" t="s">
        <x:v>304</x:v>
      </x:c>
      <x:c r="H648" s="8">
        <x:v>7.4999999999999997E-2</x:v>
      </x:c>
      <x:c r="I648" s="9" t="n">
        <x:f t="shared" si="10">IFERROR(ABS(F648)/H648,"")</x:f>
        <x:v>0.21106666666666668</x:v>
      </x:c>
      <x:c r="J648" s="2" t="s">
        <x:v>298</x:v>
      </x:c>
      <x:c r="K648" s="8">
        <x:v>0.96777000000000002</x:v>
      </x:c>
      <x:c r="L648" s="2" t="s">
        <x:v>299</x:v>
      </x:c>
      <x:c r="M648" s="2">
        <x:v>1</x:v>
      </x:c>
      <x:c r="N648" s="2" t="s">
        <x:v>79</x:v>
      </x:c>
      <x:c r="O648" s="5">
        <x:v>60.1</x:v>
      </x:c>
      <x:c r="P648" s="2">
        <x:v>522</x:v>
      </x:c>
      <x:c r="Q648" s="2" t="n">
        <x:f>IF(OR(J648="positive",J648="negative"),1,0)</x:f>
        <x:v>1</x:v>
      </x:c>
    </x:row>
    <x:row r="649" ht="15">
      <x:c r="A649" s="2" t="s">
        <x:v>55</x:v>
      </x:c>
      <x:c r="B649" s="2" t="s">
        <x:v>246</x:v>
      </x:c>
      <x:c r="C649" s="2">
        <x:v>2</x:v>
      </x:c>
      <x:c r="D649" s="2" t="s">
        <x:v>305</x:v>
      </x:c>
      <x:c r="E649" s="2" t="s">
        <x:v>306</x:v>
      </x:c>
      <x:c r="F649" s="7">
        <x:v>-2.5819999999999999E-2</x:v>
      </x:c>
      <x:c r="G649" s="2" t="s">
        <x:v>304</x:v>
      </x:c>
      <x:c r="H649" s="8">
        <x:v>0.3</x:v>
      </x:c>
      <x:c r="I649" s="9" t="n">
        <x:f t="shared" si="10">IFERROR(ABS(F649)/H649,"")</x:f>
        <x:v>0.08606666666666667</x:v>
      </x:c>
      <x:c r="J649" s="2" t="s">
        <x:v>298</x:v>
      </x:c>
      <x:c r="K649" s="8">
        <x:v>0.91286</x:v>
      </x:c>
      <x:c r="L649" s="2" t="s">
        <x:v>299</x:v>
      </x:c>
      <x:c r="M649" s="2">
        <x:v>1</x:v>
      </x:c>
      <x:c r="N649" s="2" t="s">
        <x:v>79</x:v>
      </x:c>
      <x:c r="O649" s="5">
        <x:v>60.1</x:v>
      </x:c>
      <x:c r="P649" s="2">
        <x:v>522</x:v>
      </x:c>
      <x:c r="Q649" s="2" t="n">
        <x:f>IF(OR(J649="positive",J649="negative"),1,0)</x:f>
        <x:v>1</x:v>
      </x:c>
    </x:row>
    <x:row r="650" ht="15">
      <x:c r="A650" s="2" t="s">
        <x:v>55</x:v>
      </x:c>
      <x:c r="B650" s="2" t="s">
        <x:v>247</x:v>
      </x:c>
      <x:c r="C650" s="2">
        <x:v>3</x:v>
      </x:c>
      <x:c r="D650" s="2" t="s">
        <x:v>295</x:v>
      </x:c>
      <x:c r="E650" s="2" t="s">
        <x:v>296</x:v>
      </x:c>
      <x:c r="F650" s="7">
        <x:v>0.37928000000000001</x:v>
      </x:c>
      <x:c r="G650" s="2" t="s">
        <x:v>297</x:v>
      </x:c>
      <x:c r="H650" s="8">
        <x:v>3.5</x:v>
      </x:c>
      <x:c r="I650" s="9" t="n">
        <x:f t="shared" si="10">IFERROR(ABS(F650)/H650,"")</x:f>
        <x:v>0.10836571428571429</x:v>
      </x:c>
      <x:c r="J650" s="2" t="s">
        <x:v>298</x:v>
      </x:c>
      <x:c r="K650" s="8">
        <x:v>0.95779999999999998</x:v>
      </x:c>
      <x:c r="L650" s="2" t="s">
        <x:v>299</x:v>
      </x:c>
      <x:c r="M650" s="2">
        <x:v>1</x:v>
      </x:c>
      <x:c r="N650" s="2" t="s">
        <x:v>79</x:v>
      </x:c>
      <x:c r="O650" s="5">
        <x:v>62.7</x:v>
      </x:c>
      <x:c r="P650" s="2">
        <x:v>311</x:v>
      </x:c>
      <x:c r="Q650" s="2" t="n">
        <x:f>IF(OR(J650="positive",J650="negative"),1,0)</x:f>
        <x:v>1</x:v>
      </x:c>
    </x:row>
    <x:row r="651" ht="15">
      <x:c r="A651" s="2" t="s">
        <x:v>55</x:v>
      </x:c>
      <x:c r="B651" s="2" t="s">
        <x:v>247</x:v>
      </x:c>
      <x:c r="C651" s="2">
        <x:v>3</x:v>
      </x:c>
      <x:c r="D651" s="2" t="s">
        <x:v>300</x:v>
      </x:c>
      <x:c r="E651" s="2" t="s">
        <x:v>301</x:v>
      </x:c>
      <x:c r="F651" s="7">
        <x:v>5.7299999999999997E-2</x:v>
      </x:c>
      <x:c r="G651" s="2" t="s">
        <x:v>302</x:v>
      </x:c>
      <x:c r="H651" s="8">
        <x:v>0.45</x:v>
      </x:c>
      <x:c r="I651" s="9" t="n">
        <x:f t="shared" si="10">IFERROR(ABS(F651)/H651,"")</x:f>
        <x:v>0.12733333333333333</x:v>
      </x:c>
      <x:c r="J651" s="2" t="s">
        <x:v>298</x:v>
      </x:c>
      <x:c r="K651" s="8">
        <x:v>0.88900000000000001</x:v>
      </x:c>
      <x:c r="L651" s="2" t="s">
        <x:v>299</x:v>
      </x:c>
      <x:c r="M651" s="2">
        <x:v>1</x:v>
      </x:c>
      <x:c r="N651" s="2" t="s">
        <x:v>79</x:v>
      </x:c>
      <x:c r="O651" s="5">
        <x:v>62.7</x:v>
      </x:c>
      <x:c r="P651" s="2">
        <x:v>311</x:v>
      </x:c>
      <x:c r="Q651" s="2" t="n">
        <x:f>IF(OR(J651="positive",J651="negative"),1,0)</x:f>
        <x:v>1</x:v>
      </x:c>
    </x:row>
    <x:row r="652" ht="15">
      <x:c r="A652" s="2" t="s">
        <x:v>55</x:v>
      </x:c>
      <x:c r="B652" s="2" t="s">
        <x:v>247</x:v>
      </x:c>
      <x:c r="C652" s="2">
        <x:v>3</x:v>
      </x:c>
      <x:c r="D652" s="2" t="s">
        <x:v>18</x:v>
      </x:c>
      <x:c r="E652" s="2" t="s">
        <x:v>303</x:v>
      </x:c>
      <x:c r="F652" s="7">
        <x:v>8.6099999999999996E-3</x:v>
      </x:c>
      <x:c r="G652" s="2" t="s">
        <x:v>304</x:v>
      </x:c>
      <x:c r="H652" s="8">
        <x:v>7.4999999999999997E-2</x:v>
      </x:c>
      <x:c r="I652" s="9" t="n">
        <x:f t="shared" si="10">IFERROR(ABS(F652)/H652,"")</x:f>
        <x:v>0.1148</x:v>
      </x:c>
      <x:c r="J652" s="2" t="s">
        <x:v>298</x:v>
      </x:c>
      <x:c r="K652" s="8">
        <x:v>0.90342</x:v>
      </x:c>
      <x:c r="L652" s="2" t="s">
        <x:v>299</x:v>
      </x:c>
      <x:c r="M652" s="2">
        <x:v>1</x:v>
      </x:c>
      <x:c r="N652" s="2" t="s">
        <x:v>79</x:v>
      </x:c>
      <x:c r="O652" s="5">
        <x:v>62.7</x:v>
      </x:c>
      <x:c r="P652" s="2">
        <x:v>311</x:v>
      </x:c>
      <x:c r="Q652" s="2" t="n">
        <x:f>IF(OR(J652="positive",J652="negative"),1,0)</x:f>
        <x:v>1</x:v>
      </x:c>
    </x:row>
    <x:row r="653" ht="15">
      <x:c r="A653" s="2" t="s">
        <x:v>55</x:v>
      </x:c>
      <x:c r="B653" s="2" t="s">
        <x:v>247</x:v>
      </x:c>
      <x:c r="C653" s="2">
        <x:v>3</x:v>
      </x:c>
      <x:c r="D653" s="2" t="s">
        <x:v>305</x:v>
      </x:c>
      <x:c r="E653" s="2" t="s">
        <x:v>306</x:v>
      </x:c>
      <x:c r="F653" s="7">
        <x:v>-4.6719999999999998E-2</x:v>
      </x:c>
      <x:c r="G653" s="2" t="s">
        <x:v>304</x:v>
      </x:c>
      <x:c r="H653" s="8">
        <x:v>0.3</x:v>
      </x:c>
      <x:c r="I653" s="9" t="n">
        <x:f t="shared" si="10">IFERROR(ABS(F653)/H653,"")</x:f>
        <x:v>0.15573333333333333</x:v>
      </x:c>
      <x:c r="J653" s="2" t="s">
        <x:v>298</x:v>
      </x:c>
      <x:c r="K653" s="8">
        <x:v>0.91595000000000004</x:v>
      </x:c>
      <x:c r="L653" s="2" t="s">
        <x:v>299</x:v>
      </x:c>
      <x:c r="M653" s="2">
        <x:v>1</x:v>
      </x:c>
      <x:c r="N653" s="2" t="s">
        <x:v>79</x:v>
      </x:c>
      <x:c r="O653" s="5">
        <x:v>62.7</x:v>
      </x:c>
      <x:c r="P653" s="2">
        <x:v>311</x:v>
      </x:c>
      <x:c r="Q653" s="2" t="n">
        <x:f>IF(OR(J653="positive",J653="negative"),1,0)</x:f>
        <x:v>1</x:v>
      </x:c>
    </x:row>
    <x:row r="654" ht="15">
      <x:c r="A654" s="2" t="s">
        <x:v>55</x:v>
      </x:c>
      <x:c r="B654" s="2" t="s">
        <x:v>248</x:v>
      </x:c>
      <x:c r="C654" s="2">
        <x:v>4</x:v>
      </x:c>
      <x:c r="D654" s="2" t="s">
        <x:v>295</x:v>
      </x:c>
      <x:c r="E654" s="2" t="s">
        <x:v>296</x:v>
      </x:c>
      <x:c r="F654" s="7">
        <x:v>8.4140000000000006E-2</x:v>
      </x:c>
      <x:c r="G654" s="2" t="s">
        <x:v>297</x:v>
      </x:c>
      <x:c r="H654" s="8">
        <x:v>3.5</x:v>
      </x:c>
      <x:c r="I654" s="9" t="n">
        <x:f t="shared" si="10">IFERROR(ABS(F654)/H654,"")</x:f>
        <x:v>0.024040000000000002</x:v>
      </x:c>
      <x:c r="J654" s="2" t="s">
        <x:v>298</x:v>
      </x:c>
      <x:c r="K654" s="8">
        <x:v>0.94564999999999999</x:v>
      </x:c>
      <x:c r="L654" s="2" t="s">
        <x:v>299</x:v>
      </x:c>
      <x:c r="M654" s="2">
        <x:v>1</x:v>
      </x:c>
      <x:c r="N654" s="2" t="s">
        <x:v>79</x:v>
      </x:c>
      <x:c r="O654" s="5">
        <x:v>61.1</x:v>
      </x:c>
      <x:c r="P654" s="2">
        <x:v>586</x:v>
      </x:c>
      <x:c r="Q654" s="2" t="n">
        <x:f>IF(OR(J654="positive",J654="negative"),1,0)</x:f>
        <x:v>1</x:v>
      </x:c>
    </x:row>
    <x:row r="655" ht="15">
      <x:c r="A655" s="2" t="s">
        <x:v>55</x:v>
      </x:c>
      <x:c r="B655" s="2" t="s">
        <x:v>248</x:v>
      </x:c>
      <x:c r="C655" s="2">
        <x:v>4</x:v>
      </x:c>
      <x:c r="D655" s="2" t="s">
        <x:v>300</x:v>
      </x:c>
      <x:c r="E655" s="2" t="s">
        <x:v>301</x:v>
      </x:c>
      <x:c r="F655" s="7">
        <x:v>0.10133</x:v>
      </x:c>
      <x:c r="G655" s="2" t="s">
        <x:v>302</x:v>
      </x:c>
      <x:c r="H655" s="8">
        <x:v>0.45</x:v>
      </x:c>
      <x:c r="I655" s="9" t="n">
        <x:f t="shared" si="10">IFERROR(ABS(F655)/H655,"")</x:f>
        <x:v>0.22517777777777778</x:v>
      </x:c>
      <x:c r="J655" s="2" t="s">
        <x:v>298</x:v>
      </x:c>
      <x:c r="K655" s="8">
        <x:v>0.97628999999999999</x:v>
      </x:c>
      <x:c r="L655" s="2" t="s">
        <x:v>299</x:v>
      </x:c>
      <x:c r="M655" s="2">
        <x:v>1</x:v>
      </x:c>
      <x:c r="N655" s="2" t="s">
        <x:v>79</x:v>
      </x:c>
      <x:c r="O655" s="5">
        <x:v>61.1</x:v>
      </x:c>
      <x:c r="P655" s="2">
        <x:v>586</x:v>
      </x:c>
      <x:c r="Q655" s="2" t="n">
        <x:f>IF(OR(J655="positive",J655="negative"),1,0)</x:f>
        <x:v>1</x:v>
      </x:c>
    </x:row>
    <x:row r="656" ht="15">
      <x:c r="A656" s="2" t="s">
        <x:v>55</x:v>
      </x:c>
      <x:c r="B656" s="2" t="s">
        <x:v>248</x:v>
      </x:c>
      <x:c r="C656" s="2">
        <x:v>4</x:v>
      </x:c>
      <x:c r="D656" s="2" t="s">
        <x:v>18</x:v>
      </x:c>
      <x:c r="E656" s="2" t="s">
        <x:v>303</x:v>
      </x:c>
      <x:c r="F656" s="7">
        <x:v>6.8700000000000002E-3</x:v>
      </x:c>
      <x:c r="G656" s="2" t="s">
        <x:v>304</x:v>
      </x:c>
      <x:c r="H656" s="8">
        <x:v>7.4999999999999997E-2</x:v>
      </x:c>
      <x:c r="I656" s="9" t="n">
        <x:f t="shared" si="10">IFERROR(ABS(F656)/H656,"")</x:f>
        <x:v>0.0916</x:v>
      </x:c>
      <x:c r="J656" s="2" t="s">
        <x:v>298</x:v>
      </x:c>
      <x:c r="K656" s="8">
        <x:v>0.92269000000000001</x:v>
      </x:c>
      <x:c r="L656" s="2" t="s">
        <x:v>299</x:v>
      </x:c>
      <x:c r="M656" s="2">
        <x:v>1</x:v>
      </x:c>
      <x:c r="N656" s="2" t="s">
        <x:v>79</x:v>
      </x:c>
      <x:c r="O656" s="5">
        <x:v>61.1</x:v>
      </x:c>
      <x:c r="P656" s="2">
        <x:v>586</x:v>
      </x:c>
      <x:c r="Q656" s="2" t="n">
        <x:f>IF(OR(J656="positive",J656="negative"),1,0)</x:f>
        <x:v>1</x:v>
      </x:c>
    </x:row>
    <x:row r="657" ht="15">
      <x:c r="A657" s="2" t="s">
        <x:v>55</x:v>
      </x:c>
      <x:c r="B657" s="2" t="s">
        <x:v>248</x:v>
      </x:c>
      <x:c r="C657" s="2">
        <x:v>4</x:v>
      </x:c>
      <x:c r="D657" s="2" t="s">
        <x:v>305</x:v>
      </x:c>
      <x:c r="E657" s="2" t="s">
        <x:v>306</x:v>
      </x:c>
      <x:c r="F657" s="7">
        <x:v>-3.9260000000000003E-2</x:v>
      </x:c>
      <x:c r="G657" s="2" t="s">
        <x:v>304</x:v>
      </x:c>
      <x:c r="H657" s="8">
        <x:v>0.3</x:v>
      </x:c>
      <x:c r="I657" s="9" t="n">
        <x:f t="shared" si="10">IFERROR(ABS(F657)/H657,"")</x:f>
        <x:v>0.1308666666666667</x:v>
      </x:c>
      <x:c r="J657" s="2" t="s">
        <x:v>298</x:v>
      </x:c>
      <x:c r="K657" s="8">
        <x:v>0.92722000000000004</x:v>
      </x:c>
      <x:c r="L657" s="2" t="s">
        <x:v>299</x:v>
      </x:c>
      <x:c r="M657" s="2">
        <x:v>1</x:v>
      </x:c>
      <x:c r="N657" s="2" t="s">
        <x:v>79</x:v>
      </x:c>
      <x:c r="O657" s="5">
        <x:v>61.1</x:v>
      </x:c>
      <x:c r="P657" s="2">
        <x:v>586</x:v>
      </x:c>
      <x:c r="Q657" s="2" t="n">
        <x:f>IF(OR(J657="positive",J657="negative"),1,0)</x:f>
        <x:v>1</x:v>
      </x:c>
    </x:row>
    <x:row r="658" ht="15">
      <x:c r="A658" s="2" t="s">
        <x:v>55</x:v>
      </x:c>
      <x:c r="B658" s="2" t="s">
        <x:v>249</x:v>
      </x:c>
      <x:c r="C658" s="2">
        <x:v>5</x:v>
      </x:c>
      <x:c r="D658" s="2" t="s">
        <x:v>295</x:v>
      </x:c>
      <x:c r="E658" s="2" t="s">
        <x:v>296</x:v>
      </x:c>
      <x:c r="F658" s="7">
        <x:v>0.33396999999999999</x:v>
      </x:c>
      <x:c r="G658" s="2" t="s">
        <x:v>297</x:v>
      </x:c>
      <x:c r="H658" s="8">
        <x:v>3.5</x:v>
      </x:c>
      <x:c r="I658" s="9" t="n">
        <x:f t="shared" si="10">IFERROR(ABS(F658)/H658,"")</x:f>
        <x:v>0.09541999999999999</x:v>
      </x:c>
      <x:c r="J658" s="2" t="s">
        <x:v>298</x:v>
      </x:c>
      <x:c r="K658" s="8">
        <x:v>0.94067000000000001</x:v>
      </x:c>
      <x:c r="L658" s="2" t="s">
        <x:v>299</x:v>
      </x:c>
      <x:c r="M658" s="2">
        <x:v>1</x:v>
      </x:c>
      <x:c r="N658" s="2" t="s">
        <x:v>79</x:v>
      </x:c>
      <x:c r="O658" s="5">
        <x:v>67</x:v>
      </x:c>
      <x:c r="P658" s="2">
        <x:v>452</x:v>
      </x:c>
      <x:c r="Q658" s="2" t="n">
        <x:f>IF(OR(J658="positive",J658="negative"),1,0)</x:f>
        <x:v>1</x:v>
      </x:c>
    </x:row>
    <x:row r="659" ht="15">
      <x:c r="A659" s="2" t="s">
        <x:v>55</x:v>
      </x:c>
      <x:c r="B659" s="2" t="s">
        <x:v>249</x:v>
      </x:c>
      <x:c r="C659" s="2">
        <x:v>5</x:v>
      </x:c>
      <x:c r="D659" s="2" t="s">
        <x:v>300</x:v>
      </x:c>
      <x:c r="E659" s="2" t="s">
        <x:v>301</x:v>
      </x:c>
      <x:c r="F659" s="7">
        <x:v>7.7020000000000005E-2</x:v>
      </x:c>
      <x:c r="G659" s="2" t="s">
        <x:v>302</x:v>
      </x:c>
      <x:c r="H659" s="8">
        <x:v>0.45</x:v>
      </x:c>
      <x:c r="I659" s="9" t="n">
        <x:f t="shared" si="10">IFERROR(ABS(F659)/H659,"")</x:f>
        <x:v>0.17115555555555556</x:v>
      </x:c>
      <x:c r="J659" s="2" t="s">
        <x:v>298</x:v>
      </x:c>
      <x:c r="K659" s="8">
        <x:v>0.92998999999999998</x:v>
      </x:c>
      <x:c r="L659" s="2" t="s">
        <x:v>299</x:v>
      </x:c>
      <x:c r="M659" s="2">
        <x:v>1</x:v>
      </x:c>
      <x:c r="N659" s="2" t="s">
        <x:v>79</x:v>
      </x:c>
      <x:c r="O659" s="5">
        <x:v>67</x:v>
      </x:c>
      <x:c r="P659" s="2">
        <x:v>452</x:v>
      </x:c>
      <x:c r="Q659" s="2" t="n">
        <x:f>IF(OR(J659="positive",J659="negative"),1,0)</x:f>
        <x:v>1</x:v>
      </x:c>
    </x:row>
    <x:row r="660" ht="15">
      <x:c r="A660" s="2" t="s">
        <x:v>55</x:v>
      </x:c>
      <x:c r="B660" s="2" t="s">
        <x:v>249</x:v>
      </x:c>
      <x:c r="C660" s="2">
        <x:v>5</x:v>
      </x:c>
      <x:c r="D660" s="2" t="s">
        <x:v>18</x:v>
      </x:c>
      <x:c r="E660" s="2" t="s">
        <x:v>303</x:v>
      </x:c>
      <x:c r="F660" s="7">
        <x:v>1.6799999999999999E-2</x:v>
      </x:c>
      <x:c r="G660" s="2" t="s">
        <x:v>304</x:v>
      </x:c>
      <x:c r="H660" s="8">
        <x:v>7.4999999999999997E-2</x:v>
      </x:c>
      <x:c r="I660" s="9" t="n">
        <x:f t="shared" si="10">IFERROR(ABS(F660)/H660,"")</x:f>
        <x:v>0.224</x:v>
      </x:c>
      <x:c r="J660" s="2" t="s">
        <x:v>298</x:v>
      </x:c>
      <x:c r="K660" s="8">
        <x:v>0.94238</x:v>
      </x:c>
      <x:c r="L660" s="2" t="s">
        <x:v>299</x:v>
      </x:c>
      <x:c r="M660" s="2">
        <x:v>1</x:v>
      </x:c>
      <x:c r="N660" s="2" t="s">
        <x:v>79</x:v>
      </x:c>
      <x:c r="O660" s="5">
        <x:v>67</x:v>
      </x:c>
      <x:c r="P660" s="2">
        <x:v>452</x:v>
      </x:c>
      <x:c r="Q660" s="2" t="n">
        <x:f>IF(OR(J660="positive",J660="negative"),1,0)</x:f>
        <x:v>1</x:v>
      </x:c>
    </x:row>
    <x:row r="661" ht="15">
      <x:c r="A661" s="2" t="s">
        <x:v>55</x:v>
      </x:c>
      <x:c r="B661" s="2" t="s">
        <x:v>249</x:v>
      </x:c>
      <x:c r="C661" s="2">
        <x:v>5</x:v>
      </x:c>
      <x:c r="D661" s="2" t="s">
        <x:v>305</x:v>
      </x:c>
      <x:c r="E661" s="2" t="s">
        <x:v>306</x:v>
      </x:c>
      <x:c r="F661" s="7">
        <x:v>-1.125E-2</x:v>
      </x:c>
      <x:c r="G661" s="2" t="s">
        <x:v>304</x:v>
      </x:c>
      <x:c r="H661" s="8">
        <x:v>0.3</x:v>
      </x:c>
      <x:c r="I661" s="9" t="n">
        <x:f t="shared" si="10">IFERROR(ABS(F661)/H661,"")</x:f>
        <x:v>0.0375</x:v>
      </x:c>
      <x:c r="J661" s="2" t="s">
        <x:v>298</x:v>
      </x:c>
      <x:c r="K661" s="8">
        <x:v>0.95013999999999998</x:v>
      </x:c>
      <x:c r="L661" s="2" t="s">
        <x:v>299</x:v>
      </x:c>
      <x:c r="M661" s="2">
        <x:v>1</x:v>
      </x:c>
      <x:c r="N661" s="2" t="s">
        <x:v>79</x:v>
      </x:c>
      <x:c r="O661" s="5">
        <x:v>67</x:v>
      </x:c>
      <x:c r="P661" s="2">
        <x:v>452</x:v>
      </x:c>
      <x:c r="Q661" s="2" t="n">
        <x:f>IF(OR(J661="positive",J661="negative"),1,0)</x:f>
        <x:v>1</x:v>
      </x:c>
    </x:row>
    <x:row r="662" ht="15">
      <x:c r="A662" s="2" t="s">
        <x:v>56</x:v>
      </x:c>
      <x:c r="B662" s="2" t="s">
        <x:v>250</x:v>
      </x:c>
      <x:c r="C662" s="2">
        <x:v>1</x:v>
      </x:c>
      <x:c r="D662" s="2" t="s">
        <x:v>295</x:v>
      </x:c>
      <x:c r="E662" s="2" t="s">
        <x:v>296</x:v>
      </x:c>
      <x:c r="F662" s="7">
        <x:v>0.36643999999999999</x:v>
      </x:c>
      <x:c r="G662" s="2" t="s">
        <x:v>297</x:v>
      </x:c>
      <x:c r="H662" s="8">
        <x:v>3.5</x:v>
      </x:c>
      <x:c r="I662" s="9" t="n">
        <x:f t="shared" si="10">IFERROR(ABS(F662)/H662,"")</x:f>
        <x:v>0.10469714285714285</x:v>
      </x:c>
      <x:c r="J662" s="2" t="s">
        <x:v>298</x:v>
      </x:c>
      <x:c r="K662" s="8">
        <x:v>0.98829</x:v>
      </x:c>
      <x:c r="L662" s="2" t="s">
        <x:v>299</x:v>
      </x:c>
      <x:c r="M662" s="2">
        <x:v>1</x:v>
      </x:c>
      <x:c r="N662" s="2" t="s">
        <x:v>79</x:v>
      </x:c>
      <x:c r="O662" s="5">
        <x:v>63.1</x:v>
      </x:c>
      <x:c r="P662" s="2">
        <x:v>434</x:v>
      </x:c>
      <x:c r="Q662" s="2" t="n">
        <x:f>IF(OR(J662="positive",J662="negative"),1,0)</x:f>
        <x:v>1</x:v>
      </x:c>
    </x:row>
    <x:row r="663" ht="15">
      <x:c r="A663" s="2" t="s">
        <x:v>56</x:v>
      </x:c>
      <x:c r="B663" s="2" t="s">
        <x:v>250</x:v>
      </x:c>
      <x:c r="C663" s="2">
        <x:v>1</x:v>
      </x:c>
      <x:c r="D663" s="2" t="s">
        <x:v>300</x:v>
      </x:c>
      <x:c r="E663" s="2" t="s">
        <x:v>301</x:v>
      </x:c>
      <x:c r="F663" s="7">
        <x:v>8.3690000000000001E-2</x:v>
      </x:c>
      <x:c r="G663" s="2" t="s">
        <x:v>302</x:v>
      </x:c>
      <x:c r="H663" s="8">
        <x:v>0.45</x:v>
      </x:c>
      <x:c r="I663" s="9" t="n">
        <x:f t="shared" si="10">IFERROR(ABS(F663)/H663,"")</x:f>
        <x:v>0.18597777777777777</x:v>
      </x:c>
      <x:c r="J663" s="2" t="s">
        <x:v>298</x:v>
      </x:c>
      <x:c r="K663" s="8">
        <x:v>0.94706000000000001</x:v>
      </x:c>
      <x:c r="L663" s="2" t="s">
        <x:v>299</x:v>
      </x:c>
      <x:c r="M663" s="2">
        <x:v>1</x:v>
      </x:c>
      <x:c r="N663" s="2" t="s">
        <x:v>79</x:v>
      </x:c>
      <x:c r="O663" s="5">
        <x:v>63.1</x:v>
      </x:c>
      <x:c r="P663" s="2">
        <x:v>434</x:v>
      </x:c>
      <x:c r="Q663" s="2" t="n">
        <x:f>IF(OR(J663="positive",J663="negative"),1,0)</x:f>
        <x:v>1</x:v>
      </x:c>
    </x:row>
    <x:row r="664" ht="15">
      <x:c r="A664" s="2" t="s">
        <x:v>56</x:v>
      </x:c>
      <x:c r="B664" s="2" t="s">
        <x:v>250</x:v>
      </x:c>
      <x:c r="C664" s="2">
        <x:v>1</x:v>
      </x:c>
      <x:c r="D664" s="2" t="s">
        <x:v>18</x:v>
      </x:c>
      <x:c r="E664" s="2" t="s">
        <x:v>303</x:v>
      </x:c>
      <x:c r="F664" s="7">
        <x:v>2.3999999999999998E-3</x:v>
      </x:c>
      <x:c r="G664" s="2" t="s">
        <x:v>304</x:v>
      </x:c>
      <x:c r="H664" s="8">
        <x:v>7.4999999999999997E-2</x:v>
      </x:c>
      <x:c r="I664" s="9" t="n">
        <x:f t="shared" si="10">IFERROR(ABS(F664)/H664,"")</x:f>
        <x:v>0.032</x:v>
      </x:c>
      <x:c r="J664" s="2" t="s">
        <x:v>298</x:v>
      </x:c>
      <x:c r="K664" s="8">
        <x:v>0.89632000000000001</x:v>
      </x:c>
      <x:c r="L664" s="2" t="s">
        <x:v>299</x:v>
      </x:c>
      <x:c r="M664" s="2">
        <x:v>1</x:v>
      </x:c>
      <x:c r="N664" s="2" t="s">
        <x:v>79</x:v>
      </x:c>
      <x:c r="O664" s="5">
        <x:v>63.1</x:v>
      </x:c>
      <x:c r="P664" s="2">
        <x:v>434</x:v>
      </x:c>
      <x:c r="Q664" s="2" t="n">
        <x:f>IF(OR(J664="positive",J664="negative"),1,0)</x:f>
        <x:v>1</x:v>
      </x:c>
    </x:row>
    <x:row r="665" ht="15">
      <x:c r="A665" s="2" t="s">
        <x:v>56</x:v>
      </x:c>
      <x:c r="B665" s="2" t="s">
        <x:v>250</x:v>
      </x:c>
      <x:c r="C665" s="2">
        <x:v>1</x:v>
      </x:c>
      <x:c r="D665" s="2" t="s">
        <x:v>305</x:v>
      </x:c>
      <x:c r="E665" s="2" t="s">
        <x:v>306</x:v>
      </x:c>
      <x:c r="F665" s="7">
        <x:v>6.3899999999999998E-3</x:v>
      </x:c>
      <x:c r="G665" s="2" t="s">
        <x:v>304</x:v>
      </x:c>
      <x:c r="H665" s="8">
        <x:v>0.3</x:v>
      </x:c>
      <x:c r="I665" s="9" t="n">
        <x:f t="shared" si="10">IFERROR(ABS(F665)/H665,"")</x:f>
        <x:v>0.0213</x:v>
      </x:c>
      <x:c r="J665" s="2" t="s">
        <x:v>298</x:v>
      </x:c>
      <x:c r="K665" s="8">
        <x:v>0.93647999999999998</x:v>
      </x:c>
      <x:c r="L665" s="2" t="s">
        <x:v>299</x:v>
      </x:c>
      <x:c r="M665" s="2">
        <x:v>1</x:v>
      </x:c>
      <x:c r="N665" s="2" t="s">
        <x:v>79</x:v>
      </x:c>
      <x:c r="O665" s="5">
        <x:v>63.1</x:v>
      </x:c>
      <x:c r="P665" s="2">
        <x:v>434</x:v>
      </x:c>
      <x:c r="Q665" s="2" t="n">
        <x:f>IF(OR(J665="positive",J665="negative"),1,0)</x:f>
        <x:v>1</x:v>
      </x:c>
    </x:row>
    <x:row r="666" ht="15">
      <x:c r="A666" s="2" t="s">
        <x:v>56</x:v>
      </x:c>
      <x:c r="B666" s="2" t="s">
        <x:v>251</x:v>
      </x:c>
      <x:c r="C666" s="2">
        <x:v>2</x:v>
      </x:c>
      <x:c r="D666" s="2" t="s">
        <x:v>295</x:v>
      </x:c>
      <x:c r="E666" s="2" t="s">
        <x:v>296</x:v>
      </x:c>
      <x:c r="F666" s="7">
        <x:v>0.14344999999999999</x:v>
      </x:c>
      <x:c r="G666" s="2" t="s">
        <x:v>297</x:v>
      </x:c>
      <x:c r="H666" s="8">
        <x:v>3.5</x:v>
      </x:c>
      <x:c r="I666" s="9" t="n">
        <x:f t="shared" si="10">IFERROR(ABS(F666)/H666,"")</x:f>
        <x:v>0.040985714285714285</x:v>
      </x:c>
      <x:c r="J666" s="2" t="s">
        <x:v>298</x:v>
      </x:c>
      <x:c r="K666" s="8">
        <x:v>0.96036999999999995</x:v>
      </x:c>
      <x:c r="L666" s="2" t="s">
        <x:v>299</x:v>
      </x:c>
      <x:c r="M666" s="2">
        <x:v>1</x:v>
      </x:c>
      <x:c r="N666" s="2" t="s">
        <x:v>79</x:v>
      </x:c>
      <x:c r="O666" s="5">
        <x:v>56.4</x:v>
      </x:c>
      <x:c r="P666" s="2">
        <x:v>470</x:v>
      </x:c>
      <x:c r="Q666" s="2" t="n">
        <x:f>IF(OR(J666="positive",J666="negative"),1,0)</x:f>
        <x:v>1</x:v>
      </x:c>
    </x:row>
    <x:row r="667" ht="15">
      <x:c r="A667" s="2" t="s">
        <x:v>56</x:v>
      </x:c>
      <x:c r="B667" s="2" t="s">
        <x:v>251</x:v>
      </x:c>
      <x:c r="C667" s="2">
        <x:v>2</x:v>
      </x:c>
      <x:c r="D667" s="2" t="s">
        <x:v>300</x:v>
      </x:c>
      <x:c r="E667" s="2" t="s">
        <x:v>301</x:v>
      </x:c>
      <x:c r="F667" s="7">
        <x:v>8.7249999999999994E-2</x:v>
      </x:c>
      <x:c r="G667" s="2" t="s">
        <x:v>302</x:v>
      </x:c>
      <x:c r="H667" s="8">
        <x:v>0.45</x:v>
      </x:c>
      <x:c r="I667" s="9" t="n">
        <x:f t="shared" si="10">IFERROR(ABS(F667)/H667,"")</x:f>
        <x:v>0.19388888888888886</x:v>
      </x:c>
      <x:c r="J667" s="2" t="s">
        <x:v>298</x:v>
      </x:c>
      <x:c r="K667" s="8">
        <x:v>0.92717000000000005</x:v>
      </x:c>
      <x:c r="L667" s="2" t="s">
        <x:v>299</x:v>
      </x:c>
      <x:c r="M667" s="2">
        <x:v>1</x:v>
      </x:c>
      <x:c r="N667" s="2" t="s">
        <x:v>79</x:v>
      </x:c>
      <x:c r="O667" s="5">
        <x:v>56.4</x:v>
      </x:c>
      <x:c r="P667" s="2">
        <x:v>470</x:v>
      </x:c>
      <x:c r="Q667" s="2" t="n">
        <x:f>IF(OR(J667="positive",J667="negative"),1,0)</x:f>
        <x:v>1</x:v>
      </x:c>
    </x:row>
    <x:row r="668" ht="15">
      <x:c r="A668" s="2" t="s">
        <x:v>56</x:v>
      </x:c>
      <x:c r="B668" s="2" t="s">
        <x:v>251</x:v>
      </x:c>
      <x:c r="C668" s="2">
        <x:v>2</x:v>
      </x:c>
      <x:c r="D668" s="2" t="s">
        <x:v>18</x:v>
      </x:c>
      <x:c r="E668" s="2" t="s">
        <x:v>303</x:v>
      </x:c>
      <x:c r="F668" s="7">
        <x:v>-2.49E-3</x:v>
      </x:c>
      <x:c r="G668" s="2" t="s">
        <x:v>304</x:v>
      </x:c>
      <x:c r="H668" s="8">
        <x:v>7.4999999999999997E-2</x:v>
      </x:c>
      <x:c r="I668" s="9" t="n">
        <x:f t="shared" si="10">IFERROR(ABS(F668)/H668,"")</x:f>
        <x:v>0.0332</x:v>
      </x:c>
      <x:c r="J668" s="2" t="s">
        <x:v>298</x:v>
      </x:c>
      <x:c r="K668" s="8">
        <x:v>0.96831999999999996</x:v>
      </x:c>
      <x:c r="L668" s="2" t="s">
        <x:v>299</x:v>
      </x:c>
      <x:c r="M668" s="2">
        <x:v>1</x:v>
      </x:c>
      <x:c r="N668" s="2" t="s">
        <x:v>79</x:v>
      </x:c>
      <x:c r="O668" s="5">
        <x:v>56.4</x:v>
      </x:c>
      <x:c r="P668" s="2">
        <x:v>470</x:v>
      </x:c>
      <x:c r="Q668" s="2" t="n">
        <x:f>IF(OR(J668="positive",J668="negative"),1,0)</x:f>
        <x:v>1</x:v>
      </x:c>
    </x:row>
    <x:row r="669" ht="15">
      <x:c r="A669" s="2" t="s">
        <x:v>56</x:v>
      </x:c>
      <x:c r="B669" s="2" t="s">
        <x:v>251</x:v>
      </x:c>
      <x:c r="C669" s="2">
        <x:v>2</x:v>
      </x:c>
      <x:c r="D669" s="2" t="s">
        <x:v>305</x:v>
      </x:c>
      <x:c r="E669" s="2" t="s">
        <x:v>306</x:v>
      </x:c>
      <x:c r="F669" s="7">
        <x:v>1.7219999999999999E-2</x:v>
      </x:c>
      <x:c r="G669" s="2" t="s">
        <x:v>304</x:v>
      </x:c>
      <x:c r="H669" s="8">
        <x:v>0.3</x:v>
      </x:c>
      <x:c r="I669" s="9" t="n">
        <x:f t="shared" si="10">IFERROR(ABS(F669)/H669,"")</x:f>
        <x:v>0.0574</x:v>
      </x:c>
      <x:c r="J669" s="2" t="s">
        <x:v>298</x:v>
      </x:c>
      <x:c r="K669" s="8">
        <x:v>0.96826999999999996</x:v>
      </x:c>
      <x:c r="L669" s="2" t="s">
        <x:v>299</x:v>
      </x:c>
      <x:c r="M669" s="2">
        <x:v>1</x:v>
      </x:c>
      <x:c r="N669" s="2" t="s">
        <x:v>79</x:v>
      </x:c>
      <x:c r="O669" s="5">
        <x:v>56.4</x:v>
      </x:c>
      <x:c r="P669" s="2">
        <x:v>470</x:v>
      </x:c>
      <x:c r="Q669" s="2" t="n">
        <x:f>IF(OR(J669="positive",J669="negative"),1,0)</x:f>
        <x:v>1</x:v>
      </x:c>
    </x:row>
    <x:row r="670" ht="15">
      <x:c r="A670" s="2" t="s">
        <x:v>56</x:v>
      </x:c>
      <x:c r="B670" s="2" t="s">
        <x:v>252</x:v>
      </x:c>
      <x:c r="C670" s="2">
        <x:v>3</x:v>
      </x:c>
      <x:c r="D670" s="2" t="s">
        <x:v>295</x:v>
      </x:c>
      <x:c r="E670" s="2" t="s">
        <x:v>296</x:v>
      </x:c>
      <x:c r="F670" s="7">
        <x:v>0.51536999999999999</x:v>
      </x:c>
      <x:c r="G670" s="2" t="s">
        <x:v>297</x:v>
      </x:c>
      <x:c r="H670" s="8">
        <x:v>3.5</x:v>
      </x:c>
      <x:c r="I670" s="9" t="n">
        <x:f t="shared" si="10">IFERROR(ABS(F670)/H670,"")</x:f>
        <x:v>0.14724857142857142</x:v>
      </x:c>
      <x:c r="J670" s="2" t="s">
        <x:v>298</x:v>
      </x:c>
      <x:c r="K670" s="8">
        <x:v>0.91386000000000001</x:v>
      </x:c>
      <x:c r="L670" s="2" t="s">
        <x:v>299</x:v>
      </x:c>
      <x:c r="M670" s="2">
        <x:v>1</x:v>
      </x:c>
      <x:c r="N670" s="2" t="s">
        <x:v>79</x:v>
      </x:c>
      <x:c r="O670" s="5">
        <x:v>61.9</x:v>
      </x:c>
      <x:c r="P670" s="2">
        <x:v>356</x:v>
      </x:c>
      <x:c r="Q670" s="2" t="n">
        <x:f>IF(OR(J670="positive",J670="negative"),1,0)</x:f>
        <x:v>1</x:v>
      </x:c>
    </x:row>
    <x:row r="671" ht="15">
      <x:c r="A671" s="2" t="s">
        <x:v>56</x:v>
      </x:c>
      <x:c r="B671" s="2" t="s">
        <x:v>252</x:v>
      </x:c>
      <x:c r="C671" s="2">
        <x:v>3</x:v>
      </x:c>
      <x:c r="D671" s="2" t="s">
        <x:v>300</x:v>
      </x:c>
      <x:c r="E671" s="2" t="s">
        <x:v>301</x:v>
      </x:c>
      <x:c r="F671" s="7">
        <x:v>7.639E-2</x:v>
      </x:c>
      <x:c r="G671" s="2" t="s">
        <x:v>302</x:v>
      </x:c>
      <x:c r="H671" s="8">
        <x:v>0.45</x:v>
      </x:c>
      <x:c r="I671" s="9" t="n">
        <x:f t="shared" si="10">IFERROR(ABS(F671)/H671,"")</x:f>
        <x:v>0.16975555555555555</x:v>
      </x:c>
      <x:c r="J671" s="2" t="s">
        <x:v>298</x:v>
      </x:c>
      <x:c r="K671" s="8">
        <x:v>0.87714000000000003</x:v>
      </x:c>
      <x:c r="L671" s="2" t="s">
        <x:v>299</x:v>
      </x:c>
      <x:c r="M671" s="2">
        <x:v>1</x:v>
      </x:c>
      <x:c r="N671" s="2" t="s">
        <x:v>79</x:v>
      </x:c>
      <x:c r="O671" s="5">
        <x:v>61.9</x:v>
      </x:c>
      <x:c r="P671" s="2">
        <x:v>356</x:v>
      </x:c>
      <x:c r="Q671" s="2" t="n">
        <x:f>IF(OR(J671="positive",J671="negative"),1,0)</x:f>
        <x:v>1</x:v>
      </x:c>
    </x:row>
    <x:row r="672" ht="15">
      <x:c r="A672" s="2" t="s">
        <x:v>56</x:v>
      </x:c>
      <x:c r="B672" s="2" t="s">
        <x:v>252</x:v>
      </x:c>
      <x:c r="C672" s="2">
        <x:v>3</x:v>
      </x:c>
      <x:c r="D672" s="2" t="s">
        <x:v>18</x:v>
      </x:c>
      <x:c r="E672" s="2" t="s">
        <x:v>303</x:v>
      </x:c>
      <x:c r="F672" s="7">
        <x:v>-8.2100000000000003E-3</x:v>
      </x:c>
      <x:c r="G672" s="2" t="s">
        <x:v>304</x:v>
      </x:c>
      <x:c r="H672" s="8">
        <x:v>7.4999999999999997E-2</x:v>
      </x:c>
      <x:c r="I672" s="9" t="n">
        <x:f t="shared" si="10">IFERROR(ABS(F672)/H672,"")</x:f>
        <x:v>0.10946666666666667</x:v>
      </x:c>
      <x:c r="J672" s="2" t="s">
        <x:v>298</x:v>
      </x:c>
      <x:c r="K672" s="8">
        <x:v>0.93581999999999999</x:v>
      </x:c>
      <x:c r="L672" s="2" t="s">
        <x:v>299</x:v>
      </x:c>
      <x:c r="M672" s="2">
        <x:v>1</x:v>
      </x:c>
      <x:c r="N672" s="2" t="s">
        <x:v>79</x:v>
      </x:c>
      <x:c r="O672" s="5">
        <x:v>61.9</x:v>
      </x:c>
      <x:c r="P672" s="2">
        <x:v>356</x:v>
      </x:c>
      <x:c r="Q672" s="2" t="n">
        <x:f>IF(OR(J672="positive",J672="negative"),1,0)</x:f>
        <x:v>1</x:v>
      </x:c>
    </x:row>
    <x:row r="673" ht="15">
      <x:c r="A673" s="2" t="s">
        <x:v>56</x:v>
      </x:c>
      <x:c r="B673" s="2" t="s">
        <x:v>252</x:v>
      </x:c>
      <x:c r="C673" s="2">
        <x:v>3</x:v>
      </x:c>
      <x:c r="D673" s="2" t="s">
        <x:v>305</x:v>
      </x:c>
      <x:c r="E673" s="2" t="s">
        <x:v>306</x:v>
      </x:c>
      <x:c r="F673" s="7">
        <x:v>-1.643E-2</x:v>
      </x:c>
      <x:c r="G673" s="2" t="s">
        <x:v>304</x:v>
      </x:c>
      <x:c r="H673" s="8">
        <x:v>0.3</x:v>
      </x:c>
      <x:c r="I673" s="9" t="n">
        <x:f t="shared" si="10">IFERROR(ABS(F673)/H673,"")</x:f>
        <x:v>0.05476666666666667</x:v>
      </x:c>
      <x:c r="J673" s="2" t="s">
        <x:v>298</x:v>
      </x:c>
      <x:c r="K673" s="8">
        <x:v>0.95513999999999999</x:v>
      </x:c>
      <x:c r="L673" s="2" t="s">
        <x:v>299</x:v>
      </x:c>
      <x:c r="M673" s="2">
        <x:v>1</x:v>
      </x:c>
      <x:c r="N673" s="2" t="s">
        <x:v>79</x:v>
      </x:c>
      <x:c r="O673" s="5">
        <x:v>61.9</x:v>
      </x:c>
      <x:c r="P673" s="2">
        <x:v>356</x:v>
      </x:c>
      <x:c r="Q673" s="2" t="n">
        <x:f>IF(OR(J673="positive",J673="negative"),1,0)</x:f>
        <x:v>1</x:v>
      </x:c>
    </x:row>
    <x:row r="674" ht="15">
      <x:c r="A674" s="2" t="s">
        <x:v>56</x:v>
      </x:c>
      <x:c r="B674" s="2" t="s">
        <x:v>253</x:v>
      </x:c>
      <x:c r="C674" s="2">
        <x:v>4</x:v>
      </x:c>
      <x:c r="D674" s="2" t="s">
        <x:v>295</x:v>
      </x:c>
      <x:c r="E674" s="2" t="s">
        <x:v>296</x:v>
      </x:c>
      <x:c r="F674" s="7">
        <x:v>1.6039999999999999E-2</x:v>
      </x:c>
      <x:c r="G674" s="2" t="s">
        <x:v>297</x:v>
      </x:c>
      <x:c r="H674" s="8">
        <x:v>3.5</x:v>
      </x:c>
      <x:c r="I674" s="9" t="n">
        <x:f t="shared" si="10">IFERROR(ABS(F674)/H674,"")</x:f>
        <x:v>0.004582857142857143</x:v>
      </x:c>
      <x:c r="J674" s="2" t="s">
        <x:v>298</x:v>
      </x:c>
      <x:c r="K674" s="8">
        <x:v>0.91629000000000005</x:v>
      </x:c>
      <x:c r="L674" s="2" t="s">
        <x:v>299</x:v>
      </x:c>
      <x:c r="M674" s="2">
        <x:v>1</x:v>
      </x:c>
      <x:c r="N674" s="2" t="s">
        <x:v>79</x:v>
      </x:c>
      <x:c r="O674" s="5">
        <x:v>63.5</x:v>
      </x:c>
      <x:c r="P674" s="2">
        <x:v>410</x:v>
      </x:c>
      <x:c r="Q674" s="2" t="n">
        <x:f>IF(OR(J674="positive",J674="negative"),1,0)</x:f>
        <x:v>1</x:v>
      </x:c>
    </x:row>
    <x:row r="675" ht="15">
      <x:c r="A675" s="2" t="s">
        <x:v>56</x:v>
      </x:c>
      <x:c r="B675" s="2" t="s">
        <x:v>253</x:v>
      </x:c>
      <x:c r="C675" s="2">
        <x:v>4</x:v>
      </x:c>
      <x:c r="D675" s="2" t="s">
        <x:v>300</x:v>
      </x:c>
      <x:c r="E675" s="2" t="s">
        <x:v>301</x:v>
      </x:c>
      <x:c r="F675" s="7">
        <x:v>7.1099999999999997E-2</x:v>
      </x:c>
      <x:c r="G675" s="2" t="s">
        <x:v>302</x:v>
      </x:c>
      <x:c r="H675" s="8">
        <x:v>0.45</x:v>
      </x:c>
      <x:c r="I675" s="9" t="n">
        <x:f t="shared" si="10">IFERROR(ABS(F675)/H675,"")</x:f>
        <x:v>0.158</x:v>
      </x:c>
      <x:c r="J675" s="2" t="s">
        <x:v>298</x:v>
      </x:c>
      <x:c r="K675" s="8">
        <x:v>0.96189000000000002</x:v>
      </x:c>
      <x:c r="L675" s="2" t="s">
        <x:v>299</x:v>
      </x:c>
      <x:c r="M675" s="2">
        <x:v>1</x:v>
      </x:c>
      <x:c r="N675" s="2" t="s">
        <x:v>79</x:v>
      </x:c>
      <x:c r="O675" s="5">
        <x:v>63.5</x:v>
      </x:c>
      <x:c r="P675" s="2">
        <x:v>410</x:v>
      </x:c>
      <x:c r="Q675" s="2" t="n">
        <x:f>IF(OR(J675="positive",J675="negative"),1,0)</x:f>
        <x:v>1</x:v>
      </x:c>
    </x:row>
    <x:row r="676" ht="15">
      <x:c r="A676" s="2" t="s">
        <x:v>56</x:v>
      </x:c>
      <x:c r="B676" s="2" t="s">
        <x:v>253</x:v>
      </x:c>
      <x:c r="C676" s="2">
        <x:v>4</x:v>
      </x:c>
      <x:c r="D676" s="2" t="s">
        <x:v>18</x:v>
      </x:c>
      <x:c r="E676" s="2" t="s">
        <x:v>303</x:v>
      </x:c>
      <x:c r="F676" s="7">
        <x:v>1.6000000000000001E-3</x:v>
      </x:c>
      <x:c r="G676" s="2" t="s">
        <x:v>304</x:v>
      </x:c>
      <x:c r="H676" s="8">
        <x:v>7.4999999999999997E-2</x:v>
      </x:c>
      <x:c r="I676" s="9" t="n">
        <x:f t="shared" si="10">IFERROR(ABS(F676)/H676,"")</x:f>
        <x:v>0.021333333333333336</x:v>
      </x:c>
      <x:c r="J676" s="2" t="s">
        <x:v>307</x:v>
      </x:c>
      <x:c r="K676" s="8">
        <x:v>0.46865000000000001</x:v>
      </x:c>
      <x:c r="L676" s="2" t="s">
        <x:v>308</x:v>
      </x:c>
      <x:c r="M676" s="2">
        <x:v>1</x:v>
      </x:c>
      <x:c r="N676" s="2" t="s">
        <x:v>79</x:v>
      </x:c>
      <x:c r="O676" s="5">
        <x:v>63.5</x:v>
      </x:c>
      <x:c r="P676" s="2">
        <x:v>410</x:v>
      </x:c>
      <x:c r="Q676" s="2" t="n">
        <x:f>IF(OR(J676="positive",J676="negative"),1,0)</x:f>
        <x:v>0</x:v>
      </x:c>
    </x:row>
    <x:row r="677" ht="15">
      <x:c r="A677" s="2" t="s">
        <x:v>56</x:v>
      </x:c>
      <x:c r="B677" s="2" t="s">
        <x:v>253</x:v>
      </x:c>
      <x:c r="C677" s="2">
        <x:v>4</x:v>
      </x:c>
      <x:c r="D677" s="2" t="s">
        <x:v>305</x:v>
      </x:c>
      <x:c r="E677" s="2" t="s">
        <x:v>306</x:v>
      </x:c>
      <x:c r="F677" s="7">
        <x:v>-5.0600000000000003E-3</x:v>
      </x:c>
      <x:c r="G677" s="2" t="s">
        <x:v>304</x:v>
      </x:c>
      <x:c r="H677" s="8">
        <x:v>0.3</x:v>
      </x:c>
      <x:c r="I677" s="9" t="n">
        <x:f t="shared" si="10">IFERROR(ABS(F677)/H677,"")</x:f>
        <x:v>0.01686666666666667</x:v>
      </x:c>
      <x:c r="J677" s="2" t="s">
        <x:v>298</x:v>
      </x:c>
      <x:c r="K677" s="8">
        <x:v>0.92684999999999995</x:v>
      </x:c>
      <x:c r="L677" s="2" t="s">
        <x:v>299</x:v>
      </x:c>
      <x:c r="M677" s="2">
        <x:v>1</x:v>
      </x:c>
      <x:c r="N677" s="2" t="s">
        <x:v>79</x:v>
      </x:c>
      <x:c r="O677" s="5">
        <x:v>63.5</x:v>
      </x:c>
      <x:c r="P677" s="2">
        <x:v>410</x:v>
      </x:c>
      <x:c r="Q677" s="2" t="n">
        <x:f>IF(OR(J677="positive",J677="negative"),1,0)</x:f>
        <x:v>1</x:v>
      </x:c>
    </x:row>
    <x:row r="678" ht="15">
      <x:c r="A678" s="2" t="s">
        <x:v>56</x:v>
      </x:c>
      <x:c r="B678" s="2" t="s">
        <x:v>254</x:v>
      </x:c>
      <x:c r="C678" s="2">
        <x:v>5</x:v>
      </x:c>
      <x:c r="D678" s="2" t="s">
        <x:v>295</x:v>
      </x:c>
      <x:c r="E678" s="2" t="s">
        <x:v>296</x:v>
      </x:c>
      <x:c r="F678" s="7">
        <x:v>0.11284</x:v>
      </x:c>
      <x:c r="G678" s="2" t="s">
        <x:v>297</x:v>
      </x:c>
      <x:c r="H678" s="8">
        <x:v>3.5</x:v>
      </x:c>
      <x:c r="I678" s="9" t="n">
        <x:f t="shared" si="10">IFERROR(ABS(F678)/H678,"")</x:f>
        <x:v>0.03224</x:v>
      </x:c>
      <x:c r="J678" s="2" t="s">
        <x:v>298</x:v>
      </x:c>
      <x:c r="K678" s="8">
        <x:v>0.97272999999999998</x:v>
      </x:c>
      <x:c r="L678" s="2" t="s">
        <x:v>299</x:v>
      </x:c>
      <x:c r="M678" s="2">
        <x:v>1</x:v>
      </x:c>
      <x:c r="N678" s="2" t="s">
        <x:v>79</x:v>
      </x:c>
      <x:c r="O678" s="5">
        <x:v>55.2</x:v>
      </x:c>
      <x:c r="P678" s="2">
        <x:v>489</x:v>
      </x:c>
      <x:c r="Q678" s="2" t="n">
        <x:f>IF(OR(J678="positive",J678="negative"),1,0)</x:f>
        <x:v>1</x:v>
      </x:c>
    </x:row>
    <x:row r="679" ht="15">
      <x:c r="A679" s="2" t="s">
        <x:v>56</x:v>
      </x:c>
      <x:c r="B679" s="2" t="s">
        <x:v>254</x:v>
      </x:c>
      <x:c r="C679" s="2">
        <x:v>5</x:v>
      </x:c>
      <x:c r="D679" s="2" t="s">
        <x:v>300</x:v>
      </x:c>
      <x:c r="E679" s="2" t="s">
        <x:v>301</x:v>
      </x:c>
      <x:c r="F679" s="7">
        <x:v>6.608E-2</x:v>
      </x:c>
      <x:c r="G679" s="2" t="s">
        <x:v>302</x:v>
      </x:c>
      <x:c r="H679" s="8">
        <x:v>0.45</x:v>
      </x:c>
      <x:c r="I679" s="9" t="n">
        <x:f t="shared" si="10">IFERROR(ABS(F679)/H679,"")</x:f>
        <x:v>0.14684444444444444</x:v>
      </x:c>
      <x:c r="J679" s="2" t="s">
        <x:v>298</x:v>
      </x:c>
      <x:c r="K679" s="8">
        <x:v>0.93945999999999996</x:v>
      </x:c>
      <x:c r="L679" s="2" t="s">
        <x:v>299</x:v>
      </x:c>
      <x:c r="M679" s="2">
        <x:v>1</x:v>
      </x:c>
      <x:c r="N679" s="2" t="s">
        <x:v>79</x:v>
      </x:c>
      <x:c r="O679" s="5">
        <x:v>55.2</x:v>
      </x:c>
      <x:c r="P679" s="2">
        <x:v>489</x:v>
      </x:c>
      <x:c r="Q679" s="2" t="n">
        <x:f>IF(OR(J679="positive",J679="negative"),1,0)</x:f>
        <x:v>1</x:v>
      </x:c>
    </x:row>
    <x:row r="680" ht="15">
      <x:c r="A680" s="2" t="s">
        <x:v>56</x:v>
      </x:c>
      <x:c r="B680" s="2" t="s">
        <x:v>254</x:v>
      </x:c>
      <x:c r="C680" s="2">
        <x:v>5</x:v>
      </x:c>
      <x:c r="D680" s="2" t="s">
        <x:v>18</x:v>
      </x:c>
      <x:c r="E680" s="2" t="s">
        <x:v>303</x:v>
      </x:c>
      <x:c r="F680" s="7">
        <x:v>2.2000000000000001E-4</x:v>
      </x:c>
      <x:c r="G680" s="2" t="s">
        <x:v>304</x:v>
      </x:c>
      <x:c r="H680" s="8">
        <x:v>7.4999999999999997E-2</x:v>
      </x:c>
      <x:c r="I680" s="9" t="n">
        <x:f t="shared" si="10">IFERROR(ABS(F680)/H680,"")</x:f>
        <x:v>0.0029333333333333334</x:v>
      </x:c>
      <x:c r="J680" s="2" t="s">
        <x:v>298</x:v>
      </x:c>
      <x:c r="K680" s="8">
        <x:v>0.98440000000000005</x:v>
      </x:c>
      <x:c r="L680" s="2" t="s">
        <x:v>299</x:v>
      </x:c>
      <x:c r="M680" s="2">
        <x:v>1</x:v>
      </x:c>
      <x:c r="N680" s="2" t="s">
        <x:v>79</x:v>
      </x:c>
      <x:c r="O680" s="5">
        <x:v>55.2</x:v>
      </x:c>
      <x:c r="P680" s="2">
        <x:v>489</x:v>
      </x:c>
      <x:c r="Q680" s="2" t="n">
        <x:f>IF(OR(J680="positive",J680="negative"),1,0)</x:f>
        <x:v>1</x:v>
      </x:c>
    </x:row>
    <x:row r="681" ht="15">
      <x:c r="A681" s="2" t="s">
        <x:v>56</x:v>
      </x:c>
      <x:c r="B681" s="2" t="s">
        <x:v>254</x:v>
      </x:c>
      <x:c r="C681" s="2">
        <x:v>5</x:v>
      </x:c>
      <x:c r="D681" s="2" t="s">
        <x:v>305</x:v>
      </x:c>
      <x:c r="E681" s="2" t="s">
        <x:v>306</x:v>
      </x:c>
      <x:c r="F681" s="7">
        <x:v>1.383E-2</x:v>
      </x:c>
      <x:c r="G681" s="2" t="s">
        <x:v>304</x:v>
      </x:c>
      <x:c r="H681" s="8">
        <x:v>0.3</x:v>
      </x:c>
      <x:c r="I681" s="9" t="n">
        <x:f t="shared" si="10">IFERROR(ABS(F681)/H681,"")</x:f>
        <x:v>0.0461</x:v>
      </x:c>
      <x:c r="J681" s="2" t="s">
        <x:v>298</x:v>
      </x:c>
      <x:c r="K681" s="8">
        <x:v>0.91654000000000002</x:v>
      </x:c>
      <x:c r="L681" s="2" t="s">
        <x:v>299</x:v>
      </x:c>
      <x:c r="M681" s="2">
        <x:v>1</x:v>
      </x:c>
      <x:c r="N681" s="2" t="s">
        <x:v>79</x:v>
      </x:c>
      <x:c r="O681" s="5">
        <x:v>55.2</x:v>
      </x:c>
      <x:c r="P681" s="2">
        <x:v>489</x:v>
      </x:c>
      <x:c r="Q681" s="2" t="n">
        <x:f>IF(OR(J681="positive",J681="negative"),1,0)</x:f>
        <x:v>1</x:v>
      </x:c>
    </x:row>
    <x:row r="682" ht="15">
      <x:c r="A682" s="2" t="s">
        <x:v>57</x:v>
      </x:c>
      <x:c r="B682" s="2" t="s">
        <x:v>255</x:v>
      </x:c>
      <x:c r="C682" s="2">
        <x:v>1</x:v>
      </x:c>
      <x:c r="D682" s="2" t="s">
        <x:v>295</x:v>
      </x:c>
      <x:c r="E682" s="2" t="s">
        <x:v>296</x:v>
      </x:c>
      <x:c r="F682" s="7">
        <x:v>0.2414</x:v>
      </x:c>
      <x:c r="G682" s="2" t="s">
        <x:v>297</x:v>
      </x:c>
      <x:c r="H682" s="8">
        <x:v>3.5</x:v>
      </x:c>
      <x:c r="I682" s="9" t="n">
        <x:f t="shared" si="10">IFERROR(ABS(F682)/H682,"")</x:f>
        <x:v>0.06897142857142857</x:v>
      </x:c>
      <x:c r="J682" s="2" t="s">
        <x:v>298</x:v>
      </x:c>
      <x:c r="K682" s="8">
        <x:v>0.93186000000000002</x:v>
      </x:c>
      <x:c r="L682" s="2" t="s">
        <x:v>299</x:v>
      </x:c>
      <x:c r="M682" s="2">
        <x:v>1</x:v>
      </x:c>
      <x:c r="N682" s="2" t="s">
        <x:v>79</x:v>
      </x:c>
      <x:c r="O682" s="5">
        <x:v>62.4</x:v>
      </x:c>
      <x:c r="P682" s="2">
        <x:v>540</x:v>
      </x:c>
      <x:c r="Q682" s="2" t="n">
        <x:f>IF(OR(J682="positive",J682="negative"),1,0)</x:f>
        <x:v>1</x:v>
      </x:c>
    </x:row>
    <x:row r="683" ht="15">
      <x:c r="A683" s="2" t="s">
        <x:v>57</x:v>
      </x:c>
      <x:c r="B683" s="2" t="s">
        <x:v>255</x:v>
      </x:c>
      <x:c r="C683" s="2">
        <x:v>1</x:v>
      </x:c>
      <x:c r="D683" s="2" t="s">
        <x:v>300</x:v>
      </x:c>
      <x:c r="E683" s="2" t="s">
        <x:v>301</x:v>
      </x:c>
      <x:c r="F683" s="7">
        <x:v>8.8279999999999997E-2</x:v>
      </x:c>
      <x:c r="G683" s="2" t="s">
        <x:v>302</x:v>
      </x:c>
      <x:c r="H683" s="8">
        <x:v>0.45</x:v>
      </x:c>
      <x:c r="I683" s="9" t="n">
        <x:f t="shared" si="10">IFERROR(ABS(F683)/H683,"")</x:f>
        <x:v>0.19617777777777776</x:v>
      </x:c>
      <x:c r="J683" s="2" t="s">
        <x:v>298</x:v>
      </x:c>
      <x:c r="K683" s="8">
        <x:v>0.89070000000000005</x:v>
      </x:c>
      <x:c r="L683" s="2" t="s">
        <x:v>299</x:v>
      </x:c>
      <x:c r="M683" s="2">
        <x:v>1</x:v>
      </x:c>
      <x:c r="N683" s="2" t="s">
        <x:v>79</x:v>
      </x:c>
      <x:c r="O683" s="5">
        <x:v>62.4</x:v>
      </x:c>
      <x:c r="P683" s="2">
        <x:v>540</x:v>
      </x:c>
      <x:c r="Q683" s="2" t="n">
        <x:f>IF(OR(J683="positive",J683="negative"),1,0)</x:f>
        <x:v>1</x:v>
      </x:c>
    </x:row>
    <x:row r="684" ht="15">
      <x:c r="A684" s="2" t="s">
        <x:v>57</x:v>
      </x:c>
      <x:c r="B684" s="2" t="s">
        <x:v>255</x:v>
      </x:c>
      <x:c r="C684" s="2">
        <x:v>1</x:v>
      </x:c>
      <x:c r="D684" s="2" t="s">
        <x:v>18</x:v>
      </x:c>
      <x:c r="E684" s="2" t="s">
        <x:v>303</x:v>
      </x:c>
      <x:c r="F684" s="7">
        <x:v>-2.0000000000000001E-4</x:v>
      </x:c>
      <x:c r="G684" s="2" t="s">
        <x:v>304</x:v>
      </x:c>
      <x:c r="H684" s="8">
        <x:v>7.4999999999999997E-2</x:v>
      </x:c>
      <x:c r="I684" s="9" t="n">
        <x:f t="shared" si="10">IFERROR(ABS(F684)/H684,"")</x:f>
        <x:v>0.002666666666666667</x:v>
      </x:c>
      <x:c r="J684" s="2" t="s">
        <x:v>298</x:v>
      </x:c>
      <x:c r="K684" s="8">
        <x:v>0.89614000000000005</x:v>
      </x:c>
      <x:c r="L684" s="2" t="s">
        <x:v>299</x:v>
      </x:c>
      <x:c r="M684" s="2">
        <x:v>1</x:v>
      </x:c>
      <x:c r="N684" s="2" t="s">
        <x:v>79</x:v>
      </x:c>
      <x:c r="O684" s="5">
        <x:v>62.4</x:v>
      </x:c>
      <x:c r="P684" s="2">
        <x:v>540</x:v>
      </x:c>
      <x:c r="Q684" s="2" t="n">
        <x:f>IF(OR(J684="positive",J684="negative"),1,0)</x:f>
        <x:v>1</x:v>
      </x:c>
    </x:row>
    <x:row r="685" ht="15">
      <x:c r="A685" s="2" t="s">
        <x:v>57</x:v>
      </x:c>
      <x:c r="B685" s="2" t="s">
        <x:v>255</x:v>
      </x:c>
      <x:c r="C685" s="2">
        <x:v>1</x:v>
      </x:c>
      <x:c r="D685" s="2" t="s">
        <x:v>305</x:v>
      </x:c>
      <x:c r="E685" s="2" t="s">
        <x:v>306</x:v>
      </x:c>
      <x:c r="F685" s="7">
        <x:v>2.8719999999999999E-2</x:v>
      </x:c>
      <x:c r="G685" s="2" t="s">
        <x:v>304</x:v>
      </x:c>
      <x:c r="H685" s="8">
        <x:v>0.3</x:v>
      </x:c>
      <x:c r="I685" s="9" t="n">
        <x:f t="shared" si="10">IFERROR(ABS(F685)/H685,"")</x:f>
        <x:v>0.09573333333333334</x:v>
      </x:c>
      <x:c r="J685" s="2" t="s">
        <x:v>298</x:v>
      </x:c>
      <x:c r="K685" s="8">
        <x:v>0.93901000000000001</x:v>
      </x:c>
      <x:c r="L685" s="2" t="s">
        <x:v>299</x:v>
      </x:c>
      <x:c r="M685" s="2">
        <x:v>1</x:v>
      </x:c>
      <x:c r="N685" s="2" t="s">
        <x:v>79</x:v>
      </x:c>
      <x:c r="O685" s="5">
        <x:v>62.4</x:v>
      </x:c>
      <x:c r="P685" s="2">
        <x:v>540</x:v>
      </x:c>
      <x:c r="Q685" s="2" t="n">
        <x:f>IF(OR(J685="positive",J685="negative"),1,0)</x:f>
        <x:v>1</x:v>
      </x:c>
    </x:row>
    <x:row r="686" ht="15">
      <x:c r="A686" s="2" t="s">
        <x:v>57</x:v>
      </x:c>
      <x:c r="B686" s="2" t="s">
        <x:v>256</x:v>
      </x:c>
      <x:c r="C686" s="2">
        <x:v>2</x:v>
      </x:c>
      <x:c r="D686" s="2" t="s">
        <x:v>295</x:v>
      </x:c>
      <x:c r="E686" s="2" t="s">
        <x:v>296</x:v>
      </x:c>
      <x:c r="F686" s="7">
        <x:v>0.13025999999999999</x:v>
      </x:c>
      <x:c r="G686" s="2" t="s">
        <x:v>297</x:v>
      </x:c>
      <x:c r="H686" s="8">
        <x:v>3.5</x:v>
      </x:c>
      <x:c r="I686" s="9" t="n">
        <x:f t="shared" si="10">IFERROR(ABS(F686)/H686,"")</x:f>
        <x:v>0.03721714285714285</x:v>
      </x:c>
      <x:c r="J686" s="2" t="s">
        <x:v>298</x:v>
      </x:c>
      <x:c r="K686" s="8">
        <x:v>0.91119000000000006</x:v>
      </x:c>
      <x:c r="L686" s="2" t="s">
        <x:v>299</x:v>
      </x:c>
      <x:c r="M686" s="2">
        <x:v>1</x:v>
      </x:c>
      <x:c r="N686" s="2" t="s">
        <x:v>79</x:v>
      </x:c>
      <x:c r="O686" s="5">
        <x:v>56.3</x:v>
      </x:c>
      <x:c r="P686" s="2">
        <x:v>519</x:v>
      </x:c>
      <x:c r="Q686" s="2" t="n">
        <x:f>IF(OR(J686="positive",J686="negative"),1,0)</x:f>
        <x:v>1</x:v>
      </x:c>
    </x:row>
    <x:row r="687" ht="15">
      <x:c r="A687" s="2" t="s">
        <x:v>57</x:v>
      </x:c>
      <x:c r="B687" s="2" t="s">
        <x:v>256</x:v>
      </x:c>
      <x:c r="C687" s="2">
        <x:v>2</x:v>
      </x:c>
      <x:c r="D687" s="2" t="s">
        <x:v>300</x:v>
      </x:c>
      <x:c r="E687" s="2" t="s">
        <x:v>301</x:v>
      </x:c>
      <x:c r="F687" s="7">
        <x:v>8.8650000000000007E-2</x:v>
      </x:c>
      <x:c r="G687" s="2" t="s">
        <x:v>302</x:v>
      </x:c>
      <x:c r="H687" s="8">
        <x:v>0.45</x:v>
      </x:c>
      <x:c r="I687" s="9" t="n">
        <x:f t="shared" si="10">IFERROR(ABS(F687)/H687,"")</x:f>
        <x:v>0.197</x:v>
      </x:c>
      <x:c r="J687" s="2" t="s">
        <x:v>298</x:v>
      </x:c>
      <x:c r="K687" s="8">
        <x:v>0.94262000000000001</x:v>
      </x:c>
      <x:c r="L687" s="2" t="s">
        <x:v>299</x:v>
      </x:c>
      <x:c r="M687" s="2">
        <x:v>1</x:v>
      </x:c>
      <x:c r="N687" s="2" t="s">
        <x:v>79</x:v>
      </x:c>
      <x:c r="O687" s="5">
        <x:v>56.3</x:v>
      </x:c>
      <x:c r="P687" s="2">
        <x:v>519</x:v>
      </x:c>
      <x:c r="Q687" s="2" t="n">
        <x:f>IF(OR(J687="positive",J687="negative"),1,0)</x:f>
        <x:v>1</x:v>
      </x:c>
    </x:row>
    <x:row r="688" ht="15">
      <x:c r="A688" s="2" t="s">
        <x:v>57</x:v>
      </x:c>
      <x:c r="B688" s="2" t="s">
        <x:v>256</x:v>
      </x:c>
      <x:c r="C688" s="2">
        <x:v>2</x:v>
      </x:c>
      <x:c r="D688" s="2" t="s">
        <x:v>18</x:v>
      </x:c>
      <x:c r="E688" s="2" t="s">
        <x:v>303</x:v>
      </x:c>
      <x:c r="F688" s="7">
        <x:v>8.5699999999999995E-3</x:v>
      </x:c>
      <x:c r="G688" s="2" t="s">
        <x:v>304</x:v>
      </x:c>
      <x:c r="H688" s="8">
        <x:v>7.4999999999999997E-2</x:v>
      </x:c>
      <x:c r="I688" s="9" t="n">
        <x:f t="shared" si="10">IFERROR(ABS(F688)/H688,"")</x:f>
        <x:v>0.11426666666666667</x:v>
      </x:c>
      <x:c r="J688" s="2" t="s">
        <x:v>298</x:v>
      </x:c>
      <x:c r="K688" s="8">
        <x:v>0.91625999999999996</x:v>
      </x:c>
      <x:c r="L688" s="2" t="s">
        <x:v>299</x:v>
      </x:c>
      <x:c r="M688" s="2">
        <x:v>1</x:v>
      </x:c>
      <x:c r="N688" s="2" t="s">
        <x:v>79</x:v>
      </x:c>
      <x:c r="O688" s="5">
        <x:v>56.3</x:v>
      </x:c>
      <x:c r="P688" s="2">
        <x:v>519</x:v>
      </x:c>
      <x:c r="Q688" s="2" t="n">
        <x:f>IF(OR(J688="positive",J688="negative"),1,0)</x:f>
        <x:v>1</x:v>
      </x:c>
    </x:row>
    <x:row r="689" ht="15">
      <x:c r="A689" s="2" t="s">
        <x:v>57</x:v>
      </x:c>
      <x:c r="B689" s="2" t="s">
        <x:v>256</x:v>
      </x:c>
      <x:c r="C689" s="2">
        <x:v>2</x:v>
      </x:c>
      <x:c r="D689" s="2" t="s">
        <x:v>305</x:v>
      </x:c>
      <x:c r="E689" s="2" t="s">
        <x:v>306</x:v>
      </x:c>
      <x:c r="F689" s="7">
        <x:v>-6.3099999999999996E-3</x:v>
      </x:c>
      <x:c r="G689" s="2" t="s">
        <x:v>304</x:v>
      </x:c>
      <x:c r="H689" s="8">
        <x:v>0.3</x:v>
      </x:c>
      <x:c r="I689" s="9" t="n">
        <x:f t="shared" si="10">IFERROR(ABS(F689)/H689,"")</x:f>
        <x:v>0.021033333333333334</x:v>
      </x:c>
      <x:c r="J689" s="2" t="s">
        <x:v>298</x:v>
      </x:c>
      <x:c r="K689" s="8">
        <x:v>0.90390999999999999</x:v>
      </x:c>
      <x:c r="L689" s="2" t="s">
        <x:v>299</x:v>
      </x:c>
      <x:c r="M689" s="2">
        <x:v>1</x:v>
      </x:c>
      <x:c r="N689" s="2" t="s">
        <x:v>79</x:v>
      </x:c>
      <x:c r="O689" s="5">
        <x:v>56.3</x:v>
      </x:c>
      <x:c r="P689" s="2">
        <x:v>519</x:v>
      </x:c>
      <x:c r="Q689" s="2" t="n">
        <x:f>IF(OR(J689="positive",J689="negative"),1,0)</x:f>
        <x:v>1</x:v>
      </x:c>
    </x:row>
    <x:row r="690" ht="15">
      <x:c r="A690" s="2" t="s">
        <x:v>57</x:v>
      </x:c>
      <x:c r="B690" s="2" t="s">
        <x:v>257</x:v>
      </x:c>
      <x:c r="C690" s="2">
        <x:v>3</x:v>
      </x:c>
      <x:c r="D690" s="2" t="s">
        <x:v>295</x:v>
      </x:c>
      <x:c r="E690" s="2" t="s">
        <x:v>296</x:v>
      </x:c>
      <x:c r="F690" s="7">
        <x:v>0.60704000000000002</x:v>
      </x:c>
      <x:c r="G690" s="2" t="s">
        <x:v>297</x:v>
      </x:c>
      <x:c r="H690" s="8">
        <x:v>3.5</x:v>
      </x:c>
      <x:c r="I690" s="9" t="n">
        <x:f t="shared" si="10">IFERROR(ABS(F690)/H690,"")</x:f>
        <x:v>0.17344</x:v>
      </x:c>
      <x:c r="J690" s="2" t="s">
        <x:v>298</x:v>
      </x:c>
      <x:c r="K690" s="8">
        <x:v>0.93108000000000002</x:v>
      </x:c>
      <x:c r="L690" s="2" t="s">
        <x:v>299</x:v>
      </x:c>
      <x:c r="M690" s="2">
        <x:v>1</x:v>
      </x:c>
      <x:c r="N690" s="2" t="s">
        <x:v>79</x:v>
      </x:c>
      <x:c r="O690" s="5">
        <x:v>59.8</x:v>
      </x:c>
      <x:c r="P690" s="2">
        <x:v>338</x:v>
      </x:c>
      <x:c r="Q690" s="2" t="n">
        <x:f>IF(OR(J690="positive",J690="negative"),1,0)</x:f>
        <x:v>1</x:v>
      </x:c>
    </x:row>
    <x:row r="691" ht="15">
      <x:c r="A691" s="2" t="s">
        <x:v>57</x:v>
      </x:c>
      <x:c r="B691" s="2" t="s">
        <x:v>257</x:v>
      </x:c>
      <x:c r="C691" s="2">
        <x:v>3</x:v>
      </x:c>
      <x:c r="D691" s="2" t="s">
        <x:v>300</x:v>
      </x:c>
      <x:c r="E691" s="2" t="s">
        <x:v>301</x:v>
      </x:c>
      <x:c r="F691" s="7">
        <x:v>9.2280000000000001E-2</x:v>
      </x:c>
      <x:c r="G691" s="2" t="s">
        <x:v>302</x:v>
      </x:c>
      <x:c r="H691" s="8">
        <x:v>0.45</x:v>
      </x:c>
      <x:c r="I691" s="9" t="n">
        <x:f t="shared" si="10">IFERROR(ABS(F691)/H691,"")</x:f>
        <x:v>0.20506666666666667</x:v>
      </x:c>
      <x:c r="J691" s="2" t="s">
        <x:v>298</x:v>
      </x:c>
      <x:c r="K691" s="8">
        <x:v>0.95316999999999996</x:v>
      </x:c>
      <x:c r="L691" s="2" t="s">
        <x:v>299</x:v>
      </x:c>
      <x:c r="M691" s="2">
        <x:v>1</x:v>
      </x:c>
      <x:c r="N691" s="2" t="s">
        <x:v>79</x:v>
      </x:c>
      <x:c r="O691" s="5">
        <x:v>59.8</x:v>
      </x:c>
      <x:c r="P691" s="2">
        <x:v>338</x:v>
      </x:c>
      <x:c r="Q691" s="2" t="n">
        <x:f>IF(OR(J691="positive",J691="negative"),1,0)</x:f>
        <x:v>1</x:v>
      </x:c>
    </x:row>
    <x:row r="692" ht="15">
      <x:c r="A692" s="2" t="s">
        <x:v>57</x:v>
      </x:c>
      <x:c r="B692" s="2" t="s">
        <x:v>257</x:v>
      </x:c>
      <x:c r="C692" s="2">
        <x:v>3</x:v>
      </x:c>
      <x:c r="D692" s="2" t="s">
        <x:v>18</x:v>
      </x:c>
      <x:c r="E692" s="2" t="s">
        <x:v>303</x:v>
      </x:c>
      <x:c r="F692" s="7">
        <x:v>3.0100000000000001E-3</x:v>
      </x:c>
      <x:c r="G692" s="2" t="s">
        <x:v>304</x:v>
      </x:c>
      <x:c r="H692" s="8">
        <x:v>7.4999999999999997E-2</x:v>
      </x:c>
      <x:c r="I692" s="9" t="n">
        <x:f t="shared" si="10">IFERROR(ABS(F692)/H692,"")</x:f>
        <x:v>0.04013333333333333</x:v>
      </x:c>
      <x:c r="J692" s="2" t="s">
        <x:v>298</x:v>
      </x:c>
      <x:c r="K692" s="8">
        <x:v>0.89775000000000005</x:v>
      </x:c>
      <x:c r="L692" s="2" t="s">
        <x:v>299</x:v>
      </x:c>
      <x:c r="M692" s="2">
        <x:v>1</x:v>
      </x:c>
      <x:c r="N692" s="2" t="s">
        <x:v>79</x:v>
      </x:c>
      <x:c r="O692" s="5">
        <x:v>59.8</x:v>
      </x:c>
      <x:c r="P692" s="2">
        <x:v>338</x:v>
      </x:c>
      <x:c r="Q692" s="2" t="n">
        <x:f>IF(OR(J692="positive",J692="negative"),1,0)</x:f>
        <x:v>1</x:v>
      </x:c>
    </x:row>
    <x:row r="693" ht="15">
      <x:c r="A693" s="2" t="s">
        <x:v>57</x:v>
      </x:c>
      <x:c r="B693" s="2" t="s">
        <x:v>257</x:v>
      </x:c>
      <x:c r="C693" s="2">
        <x:v>3</x:v>
      </x:c>
      <x:c r="D693" s="2" t="s">
        <x:v>305</x:v>
      </x:c>
      <x:c r="E693" s="2" t="s">
        <x:v>306</x:v>
      </x:c>
      <x:c r="F693" s="7">
        <x:v>-5.2760000000000001E-2</x:v>
      </x:c>
      <x:c r="G693" s="2" t="s">
        <x:v>304</x:v>
      </x:c>
      <x:c r="H693" s="8">
        <x:v>0.3</x:v>
      </x:c>
      <x:c r="I693" s="9" t="n">
        <x:f t="shared" si="10">IFERROR(ABS(F693)/H693,"")</x:f>
        <x:v>0.17586666666666667</x:v>
      </x:c>
      <x:c r="J693" s="2" t="s">
        <x:v>298</x:v>
      </x:c>
      <x:c r="K693" s="8">
        <x:v>0.91979999999999995</x:v>
      </x:c>
      <x:c r="L693" s="2" t="s">
        <x:v>299</x:v>
      </x:c>
      <x:c r="M693" s="2">
        <x:v>1</x:v>
      </x:c>
      <x:c r="N693" s="2" t="s">
        <x:v>79</x:v>
      </x:c>
      <x:c r="O693" s="5">
        <x:v>59.8</x:v>
      </x:c>
      <x:c r="P693" s="2">
        <x:v>338</x:v>
      </x:c>
      <x:c r="Q693" s="2" t="n">
        <x:f>IF(OR(J693="positive",J693="negative"),1,0)</x:f>
        <x:v>1</x:v>
      </x:c>
    </x:row>
    <x:row r="694" ht="15">
      <x:c r="A694" s="2" t="s">
        <x:v>57</x:v>
      </x:c>
      <x:c r="B694" s="2" t="s">
        <x:v>258</x:v>
      </x:c>
      <x:c r="C694" s="2">
        <x:v>4</x:v>
      </x:c>
      <x:c r="D694" s="2" t="s">
        <x:v>295</x:v>
      </x:c>
      <x:c r="E694" s="2" t="s">
        <x:v>296</x:v>
      </x:c>
      <x:c r="F694" s="7">
        <x:v>0.50068999999999997</x:v>
      </x:c>
      <x:c r="G694" s="2" t="s">
        <x:v>297</x:v>
      </x:c>
      <x:c r="H694" s="8">
        <x:v>3.5</x:v>
      </x:c>
      <x:c r="I694" s="9" t="n">
        <x:f t="shared" si="10">IFERROR(ABS(F694)/H694,"")</x:f>
        <x:v>0.14305428571428572</x:v>
      </x:c>
      <x:c r="J694" s="2" t="s">
        <x:v>298</x:v>
      </x:c>
      <x:c r="K694" s="8">
        <x:v>0.95625000000000004</x:v>
      </x:c>
      <x:c r="L694" s="2" t="s">
        <x:v>299</x:v>
      </x:c>
      <x:c r="M694" s="2">
        <x:v>1</x:v>
      </x:c>
      <x:c r="N694" s="2" t="s">
        <x:v>79</x:v>
      </x:c>
      <x:c r="O694" s="5">
        <x:v>60.1</x:v>
      </x:c>
      <x:c r="P694" s="2">
        <x:v>293</x:v>
      </x:c>
      <x:c r="Q694" s="2" t="n">
        <x:f>IF(OR(J694="positive",J694="negative"),1,0)</x:f>
        <x:v>1</x:v>
      </x:c>
    </x:row>
    <x:row r="695" ht="15">
      <x:c r="A695" s="2" t="s">
        <x:v>57</x:v>
      </x:c>
      <x:c r="B695" s="2" t="s">
        <x:v>258</x:v>
      </x:c>
      <x:c r="C695" s="2">
        <x:v>4</x:v>
      </x:c>
      <x:c r="D695" s="2" t="s">
        <x:v>300</x:v>
      </x:c>
      <x:c r="E695" s="2" t="s">
        <x:v>301</x:v>
      </x:c>
      <x:c r="F695" s="7">
        <x:v>7.2429999999999994E-2</x:v>
      </x:c>
      <x:c r="G695" s="2" t="s">
        <x:v>302</x:v>
      </x:c>
      <x:c r="H695" s="8">
        <x:v>0.45</x:v>
      </x:c>
      <x:c r="I695" s="9" t="n">
        <x:f t="shared" si="10">IFERROR(ABS(F695)/H695,"")</x:f>
        <x:v>0.16095555555555555</x:v>
      </x:c>
      <x:c r="J695" s="2" t="s">
        <x:v>298</x:v>
      </x:c>
      <x:c r="K695" s="8">
        <x:v>0.96621000000000001</x:v>
      </x:c>
      <x:c r="L695" s="2" t="s">
        <x:v>299</x:v>
      </x:c>
      <x:c r="M695" s="2">
        <x:v>1</x:v>
      </x:c>
      <x:c r="N695" s="2" t="s">
        <x:v>79</x:v>
      </x:c>
      <x:c r="O695" s="5">
        <x:v>60.1</x:v>
      </x:c>
      <x:c r="P695" s="2">
        <x:v>293</x:v>
      </x:c>
      <x:c r="Q695" s="2" t="n">
        <x:f>IF(OR(J695="positive",J695="negative"),1,0)</x:f>
        <x:v>1</x:v>
      </x:c>
    </x:row>
    <x:row r="696" ht="15">
      <x:c r="A696" s="2" t="s">
        <x:v>57</x:v>
      </x:c>
      <x:c r="B696" s="2" t="s">
        <x:v>258</x:v>
      </x:c>
      <x:c r="C696" s="2">
        <x:v>4</x:v>
      </x:c>
      <x:c r="D696" s="2" t="s">
        <x:v>18</x:v>
      </x:c>
      <x:c r="E696" s="2" t="s">
        <x:v>303</x:v>
      </x:c>
      <x:c r="F696" s="7">
        <x:v>5.6699999999999997E-3</x:v>
      </x:c>
      <x:c r="G696" s="2" t="s">
        <x:v>304</x:v>
      </x:c>
      <x:c r="H696" s="8">
        <x:v>7.4999999999999997E-2</x:v>
      </x:c>
      <x:c r="I696" s="9" t="n">
        <x:f t="shared" si="10">IFERROR(ABS(F696)/H696,"")</x:f>
        <x:v>0.0756</x:v>
      </x:c>
      <x:c r="J696" s="2" t="s">
        <x:v>298</x:v>
      </x:c>
      <x:c r="K696" s="8">
        <x:v>0.86880999999999997</x:v>
      </x:c>
      <x:c r="L696" s="2" t="s">
        <x:v>299</x:v>
      </x:c>
      <x:c r="M696" s="2">
        <x:v>1</x:v>
      </x:c>
      <x:c r="N696" s="2" t="s">
        <x:v>79</x:v>
      </x:c>
      <x:c r="O696" s="5">
        <x:v>60.1</x:v>
      </x:c>
      <x:c r="P696" s="2">
        <x:v>293</x:v>
      </x:c>
      <x:c r="Q696" s="2" t="n">
        <x:f>IF(OR(J696="positive",J696="negative"),1,0)</x:f>
        <x:v>1</x:v>
      </x:c>
    </x:row>
    <x:row r="697" ht="15">
      <x:c r="A697" s="2" t="s">
        <x:v>57</x:v>
      </x:c>
      <x:c r="B697" s="2" t="s">
        <x:v>258</x:v>
      </x:c>
      <x:c r="C697" s="2">
        <x:v>4</x:v>
      </x:c>
      <x:c r="D697" s="2" t="s">
        <x:v>305</x:v>
      </x:c>
      <x:c r="E697" s="2" t="s">
        <x:v>306</x:v>
      </x:c>
      <x:c r="F697" s="7">
        <x:v>-6.6600000000000001E-3</x:v>
      </x:c>
      <x:c r="G697" s="2" t="s">
        <x:v>304</x:v>
      </x:c>
      <x:c r="H697" s="8">
        <x:v>0.3</x:v>
      </x:c>
      <x:c r="I697" s="9" t="n">
        <x:f t="shared" si="10">IFERROR(ABS(F697)/H697,"")</x:f>
        <x:v>0.0222</x:v>
      </x:c>
      <x:c r="J697" s="2" t="s">
        <x:v>298</x:v>
      </x:c>
      <x:c r="K697" s="8">
        <x:v>0.98119999999999996</x:v>
      </x:c>
      <x:c r="L697" s="2" t="s">
        <x:v>299</x:v>
      </x:c>
      <x:c r="M697" s="2">
        <x:v>1</x:v>
      </x:c>
      <x:c r="N697" s="2" t="s">
        <x:v>79</x:v>
      </x:c>
      <x:c r="O697" s="5">
        <x:v>60.1</x:v>
      </x:c>
      <x:c r="P697" s="2">
        <x:v>293</x:v>
      </x:c>
      <x:c r="Q697" s="2" t="n">
        <x:f>IF(OR(J697="positive",J697="negative"),1,0)</x:f>
        <x:v>1</x:v>
      </x:c>
    </x:row>
    <x:row r="698" ht="15">
      <x:c r="A698" s="2" t="s">
        <x:v>57</x:v>
      </x:c>
      <x:c r="B698" s="2" t="s">
        <x:v>259</x:v>
      </x:c>
      <x:c r="C698" s="2">
        <x:v>5</x:v>
      </x:c>
      <x:c r="D698" s="2" t="s">
        <x:v>295</x:v>
      </x:c>
      <x:c r="E698" s="2" t="s">
        <x:v>296</x:v>
      </x:c>
      <x:c r="F698" s="7">
        <x:v>0.26042999999999999</x:v>
      </x:c>
      <x:c r="G698" s="2" t="s">
        <x:v>297</x:v>
      </x:c>
      <x:c r="H698" s="8">
        <x:v>3.5</x:v>
      </x:c>
      <x:c r="I698" s="9" t="n">
        <x:f t="shared" si="10">IFERROR(ABS(F698)/H698,"")</x:f>
        <x:v>0.07440857142857142</x:v>
      </x:c>
      <x:c r="J698" s="2" t="s">
        <x:v>298</x:v>
      </x:c>
      <x:c r="K698" s="8">
        <x:v>0.93489</x:v>
      </x:c>
      <x:c r="L698" s="2" t="s">
        <x:v>299</x:v>
      </x:c>
      <x:c r="M698" s="2">
        <x:v>1</x:v>
      </x:c>
      <x:c r="N698" s="2" t="s">
        <x:v>79</x:v>
      </x:c>
      <x:c r="O698" s="5">
        <x:v>64</x:v>
      </x:c>
      <x:c r="P698" s="2">
        <x:v>193</x:v>
      </x:c>
      <x:c r="Q698" s="2" t="n">
        <x:f>IF(OR(J698="positive",J698="negative"),1,0)</x:f>
        <x:v>1</x:v>
      </x:c>
    </x:row>
    <x:row r="699" ht="15">
      <x:c r="A699" s="2" t="s">
        <x:v>57</x:v>
      </x:c>
      <x:c r="B699" s="2" t="s">
        <x:v>259</x:v>
      </x:c>
      <x:c r="C699" s="2">
        <x:v>5</x:v>
      </x:c>
      <x:c r="D699" s="2" t="s">
        <x:v>300</x:v>
      </x:c>
      <x:c r="E699" s="2" t="s">
        <x:v>301</x:v>
      </x:c>
      <x:c r="F699" s="7">
        <x:v>9.9360000000000004E-2</x:v>
      </x:c>
      <x:c r="G699" s="2" t="s">
        <x:v>302</x:v>
      </x:c>
      <x:c r="H699" s="8">
        <x:v>0.45</x:v>
      </x:c>
      <x:c r="I699" s="9" t="n">
        <x:f t="shared" si="10">IFERROR(ABS(F699)/H699,"")</x:f>
        <x:v>0.2208</x:v>
      </x:c>
      <x:c r="J699" s="2" t="s">
        <x:v>298</x:v>
      </x:c>
      <x:c r="K699" s="8">
        <x:v>0.98285</x:v>
      </x:c>
      <x:c r="L699" s="2" t="s">
        <x:v>299</x:v>
      </x:c>
      <x:c r="M699" s="2">
        <x:v>1</x:v>
      </x:c>
      <x:c r="N699" s="2" t="s">
        <x:v>79</x:v>
      </x:c>
      <x:c r="O699" s="5">
        <x:v>64</x:v>
      </x:c>
      <x:c r="P699" s="2">
        <x:v>193</x:v>
      </x:c>
      <x:c r="Q699" s="2" t="n">
        <x:f>IF(OR(J699="positive",J699="negative"),1,0)</x:f>
        <x:v>1</x:v>
      </x:c>
    </x:row>
    <x:row r="700" ht="15">
      <x:c r="A700" s="2" t="s">
        <x:v>57</x:v>
      </x:c>
      <x:c r="B700" s="2" t="s">
        <x:v>259</x:v>
      </x:c>
      <x:c r="C700" s="2">
        <x:v>5</x:v>
      </x:c>
      <x:c r="D700" s="2" t="s">
        <x:v>18</x:v>
      </x:c>
      <x:c r="E700" s="2" t="s">
        <x:v>303</x:v>
      </x:c>
      <x:c r="F700" s="7">
        <x:v>4.1000000000000003E-3</x:v>
      </x:c>
      <x:c r="G700" s="2" t="s">
        <x:v>304</x:v>
      </x:c>
      <x:c r="H700" s="8">
        <x:v>7.4999999999999997E-2</x:v>
      </x:c>
      <x:c r="I700" s="9" t="n">
        <x:f t="shared" si="10">IFERROR(ABS(F700)/H700,"")</x:f>
        <x:v>0.054666666666666676</x:v>
      </x:c>
      <x:c r="J700" s="2" t="s">
        <x:v>298</x:v>
      </x:c>
      <x:c r="K700" s="8">
        <x:v>0.89710999999999996</x:v>
      </x:c>
      <x:c r="L700" s="2" t="s">
        <x:v>299</x:v>
      </x:c>
      <x:c r="M700" s="2">
        <x:v>1</x:v>
      </x:c>
      <x:c r="N700" s="2" t="s">
        <x:v>79</x:v>
      </x:c>
      <x:c r="O700" s="5">
        <x:v>64</x:v>
      </x:c>
      <x:c r="P700" s="2">
        <x:v>193</x:v>
      </x:c>
      <x:c r="Q700" s="2" t="n">
        <x:f>IF(OR(J700="positive",J700="negative"),1,0)</x:f>
        <x:v>1</x:v>
      </x:c>
    </x:row>
    <x:row r="701" ht="15">
      <x:c r="A701" s="2" t="s">
        <x:v>57</x:v>
      </x:c>
      <x:c r="B701" s="2" t="s">
        <x:v>259</x:v>
      </x:c>
      <x:c r="C701" s="2">
        <x:v>5</x:v>
      </x:c>
      <x:c r="D701" s="2" t="s">
        <x:v>305</x:v>
      </x:c>
      <x:c r="E701" s="2" t="s">
        <x:v>306</x:v>
      </x:c>
      <x:c r="F701" s="7">
        <x:v>-1.7729999999999999E-2</x:v>
      </x:c>
      <x:c r="G701" s="2" t="s">
        <x:v>304</x:v>
      </x:c>
      <x:c r="H701" s="8">
        <x:v>0.3</x:v>
      </x:c>
      <x:c r="I701" s="9" t="n">
        <x:f t="shared" si="10">IFERROR(ABS(F701)/H701,"")</x:f>
        <x:v>0.0591</x:v>
      </x:c>
      <x:c r="J701" s="2" t="s">
        <x:v>298</x:v>
      </x:c>
      <x:c r="K701" s="8">
        <x:v>0.95218999999999998</x:v>
      </x:c>
      <x:c r="L701" s="2" t="s">
        <x:v>299</x:v>
      </x:c>
      <x:c r="M701" s="2">
        <x:v>1</x:v>
      </x:c>
      <x:c r="N701" s="2" t="s">
        <x:v>79</x:v>
      </x:c>
      <x:c r="O701" s="5">
        <x:v>64</x:v>
      </x:c>
      <x:c r="P701" s="2">
        <x:v>193</x:v>
      </x:c>
      <x:c r="Q701" s="2" t="n">
        <x:f>IF(OR(J701="positive",J701="negative"),1,0)</x:f>
        <x:v>1</x:v>
      </x:c>
    </x:row>
    <x:row r="702" ht="15">
      <x:c r="A702" s="2" t="s">
        <x:v>58</x:v>
      </x:c>
      <x:c r="B702" s="2" t="s">
        <x:v>260</x:v>
      </x:c>
      <x:c r="C702" s="2">
        <x:v>1</x:v>
      </x:c>
      <x:c r="D702" s="2" t="s">
        <x:v>295</x:v>
      </x:c>
      <x:c r="E702" s="2" t="s">
        <x:v>296</x:v>
      </x:c>
      <x:c r="F702" s="7">
        <x:v>0.31977</x:v>
      </x:c>
      <x:c r="G702" s="2" t="s">
        <x:v>297</x:v>
      </x:c>
      <x:c r="H702" s="8">
        <x:v>3.5</x:v>
      </x:c>
      <x:c r="I702" s="9" t="n">
        <x:f t="shared" si="10">IFERROR(ABS(F702)/H702,"")</x:f>
        <x:v>0.09136285714285715</x:v>
      </x:c>
      <x:c r="J702" s="2" t="s">
        <x:v>298</x:v>
      </x:c>
      <x:c r="K702" s="8">
        <x:v>0.96018999999999999</x:v>
      </x:c>
      <x:c r="L702" s="2" t="s">
        <x:v>299</x:v>
      </x:c>
      <x:c r="M702" s="2">
        <x:v>1</x:v>
      </x:c>
      <x:c r="N702" s="2" t="s">
        <x:v>79</x:v>
      </x:c>
      <x:c r="O702" s="5">
        <x:v>61.1</x:v>
      </x:c>
      <x:c r="P702" s="2">
        <x:v>318</x:v>
      </x:c>
      <x:c r="Q702" s="2" t="n">
        <x:f>IF(OR(J702="positive",J702="negative"),1,0)</x:f>
        <x:v>1</x:v>
      </x:c>
    </x:row>
    <x:row r="703" ht="15">
      <x:c r="A703" s="2" t="s">
        <x:v>58</x:v>
      </x:c>
      <x:c r="B703" s="2" t="s">
        <x:v>260</x:v>
      </x:c>
      <x:c r="C703" s="2">
        <x:v>1</x:v>
      </x:c>
      <x:c r="D703" s="2" t="s">
        <x:v>300</x:v>
      </x:c>
      <x:c r="E703" s="2" t="s">
        <x:v>301</x:v>
      </x:c>
      <x:c r="F703" s="7">
        <x:v>6.7849999999999994E-2</x:v>
      </x:c>
      <x:c r="G703" s="2" t="s">
        <x:v>302</x:v>
      </x:c>
      <x:c r="H703" s="8">
        <x:v>0.45</x:v>
      </x:c>
      <x:c r="I703" s="9" t="n">
        <x:f t="shared" si="10">IFERROR(ABS(F703)/H703,"")</x:f>
        <x:v>0.15077777777777776</x:v>
      </x:c>
      <x:c r="J703" s="2" t="s">
        <x:v>298</x:v>
      </x:c>
      <x:c r="K703" s="8">
        <x:v>0.94769000000000003</x:v>
      </x:c>
      <x:c r="L703" s="2" t="s">
        <x:v>299</x:v>
      </x:c>
      <x:c r="M703" s="2">
        <x:v>1</x:v>
      </x:c>
      <x:c r="N703" s="2" t="s">
        <x:v>79</x:v>
      </x:c>
      <x:c r="O703" s="5">
        <x:v>61.1</x:v>
      </x:c>
      <x:c r="P703" s="2">
        <x:v>318</x:v>
      </x:c>
      <x:c r="Q703" s="2" t="n">
        <x:f>IF(OR(J703="positive",J703="negative"),1,0)</x:f>
        <x:v>1</x:v>
      </x:c>
    </x:row>
    <x:row r="704" ht="15">
      <x:c r="A704" s="2" t="s">
        <x:v>58</x:v>
      </x:c>
      <x:c r="B704" s="2" t="s">
        <x:v>260</x:v>
      </x:c>
      <x:c r="C704" s="2">
        <x:v>1</x:v>
      </x:c>
      <x:c r="D704" s="2" t="s">
        <x:v>18</x:v>
      </x:c>
      <x:c r="E704" s="2" t="s">
        <x:v>303</x:v>
      </x:c>
      <x:c r="F704" s="7">
        <x:v>-2.181E-2</x:v>
      </x:c>
      <x:c r="G704" s="2" t="s">
        <x:v>304</x:v>
      </x:c>
      <x:c r="H704" s="8">
        <x:v>7.4999999999999997E-2</x:v>
      </x:c>
      <x:c r="I704" s="9" t="n">
        <x:f t="shared" si="10">IFERROR(ABS(F704)/H704,"")</x:f>
        <x:v>0.2908</x:v>
      </x:c>
      <x:c r="J704" s="2" t="s">
        <x:v>298</x:v>
      </x:c>
      <x:c r="K704" s="8">
        <x:v>0.91237000000000001</x:v>
      </x:c>
      <x:c r="L704" s="2" t="s">
        <x:v>299</x:v>
      </x:c>
      <x:c r="M704" s="2">
        <x:v>1</x:v>
      </x:c>
      <x:c r="N704" s="2" t="s">
        <x:v>79</x:v>
      </x:c>
      <x:c r="O704" s="5">
        <x:v>61.1</x:v>
      </x:c>
      <x:c r="P704" s="2">
        <x:v>318</x:v>
      </x:c>
      <x:c r="Q704" s="2" t="n">
        <x:f>IF(OR(J704="positive",J704="negative"),1,0)</x:f>
        <x:v>1</x:v>
      </x:c>
    </x:row>
    <x:row r="705" ht="15">
      <x:c r="A705" s="2" t="s">
        <x:v>58</x:v>
      </x:c>
      <x:c r="B705" s="2" t="s">
        <x:v>260</x:v>
      </x:c>
      <x:c r="C705" s="2">
        <x:v>1</x:v>
      </x:c>
      <x:c r="D705" s="2" t="s">
        <x:v>305</x:v>
      </x:c>
      <x:c r="E705" s="2" t="s">
        <x:v>306</x:v>
      </x:c>
      <x:c r="F705" s="7">
        <x:v>4.3049999999999998E-2</x:v>
      </x:c>
      <x:c r="G705" s="2" t="s">
        <x:v>304</x:v>
      </x:c>
      <x:c r="H705" s="8">
        <x:v>0.3</x:v>
      </x:c>
      <x:c r="I705" s="9" t="n">
        <x:f t="shared" si="10">IFERROR(ABS(F705)/H705,"")</x:f>
        <x:v>0.1435</x:v>
      </x:c>
      <x:c r="J705" s="2" t="s">
        <x:v>298</x:v>
      </x:c>
      <x:c r="K705" s="8">
        <x:v>0.91652</x:v>
      </x:c>
      <x:c r="L705" s="2" t="s">
        <x:v>299</x:v>
      </x:c>
      <x:c r="M705" s="2">
        <x:v>1</x:v>
      </x:c>
      <x:c r="N705" s="2" t="s">
        <x:v>79</x:v>
      </x:c>
      <x:c r="O705" s="5">
        <x:v>61.1</x:v>
      </x:c>
      <x:c r="P705" s="2">
        <x:v>318</x:v>
      </x:c>
      <x:c r="Q705" s="2" t="n">
        <x:f>IF(OR(J705="positive",J705="negative"),1,0)</x:f>
        <x:v>1</x:v>
      </x:c>
    </x:row>
    <x:row r="706" ht="15">
      <x:c r="A706" s="2" t="s">
        <x:v>58</x:v>
      </x:c>
      <x:c r="B706" s="2" t="s">
        <x:v>261</x:v>
      </x:c>
      <x:c r="C706" s="2">
        <x:v>2</x:v>
      </x:c>
      <x:c r="D706" s="2" t="s">
        <x:v>295</x:v>
      </x:c>
      <x:c r="E706" s="2" t="s">
        <x:v>296</x:v>
      </x:c>
      <x:c r="F706" s="7">
        <x:v>0.47233000000000003</x:v>
      </x:c>
      <x:c r="G706" s="2" t="s">
        <x:v>297</x:v>
      </x:c>
      <x:c r="H706" s="8">
        <x:v>3.5</x:v>
      </x:c>
      <x:c r="I706" s="9" t="n">
        <x:f t="shared" ref="I706:I769" si="11">IFERROR(ABS(F706)/H706,"")</x:f>
        <x:v>0.13495142857142858</x:v>
      </x:c>
      <x:c r="J706" s="2" t="s">
        <x:v>298</x:v>
      </x:c>
      <x:c r="K706" s="8">
        <x:v>0.96779000000000004</x:v>
      </x:c>
      <x:c r="L706" s="2" t="s">
        <x:v>299</x:v>
      </x:c>
      <x:c r="M706" s="2">
        <x:v>1</x:v>
      </x:c>
      <x:c r="N706" s="2" t="s">
        <x:v>79</x:v>
      </x:c>
      <x:c r="O706" s="5">
        <x:v>54.3</x:v>
      </x:c>
      <x:c r="P706" s="2">
        <x:v>499</x:v>
      </x:c>
      <x:c r="Q706" s="2" t="n">
        <x:f>IF(OR(J706="positive",J706="negative"),1,0)</x:f>
        <x:v>1</x:v>
      </x:c>
    </x:row>
    <x:row r="707" ht="15">
      <x:c r="A707" s="2" t="s">
        <x:v>58</x:v>
      </x:c>
      <x:c r="B707" s="2" t="s">
        <x:v>261</x:v>
      </x:c>
      <x:c r="C707" s="2">
        <x:v>2</x:v>
      </x:c>
      <x:c r="D707" s="2" t="s">
        <x:v>300</x:v>
      </x:c>
      <x:c r="E707" s="2" t="s">
        <x:v>301</x:v>
      </x:c>
      <x:c r="F707" s="7">
        <x:v>6.7239999999999994E-2</x:v>
      </x:c>
      <x:c r="G707" s="2" t="s">
        <x:v>302</x:v>
      </x:c>
      <x:c r="H707" s="8">
        <x:v>0.45</x:v>
      </x:c>
      <x:c r="I707" s="9" t="n">
        <x:f t="shared" si="11">IFERROR(ABS(F707)/H707,"")</x:f>
        <x:v>0.1494222222222222</x:v>
      </x:c>
      <x:c r="J707" s="2" t="s">
        <x:v>298</x:v>
      </x:c>
      <x:c r="K707" s="8">
        <x:v>0.94172</x:v>
      </x:c>
      <x:c r="L707" s="2" t="s">
        <x:v>299</x:v>
      </x:c>
      <x:c r="M707" s="2">
        <x:v>1</x:v>
      </x:c>
      <x:c r="N707" s="2" t="s">
        <x:v>79</x:v>
      </x:c>
      <x:c r="O707" s="5">
        <x:v>54.3</x:v>
      </x:c>
      <x:c r="P707" s="2">
        <x:v>499</x:v>
      </x:c>
      <x:c r="Q707" s="2" t="n">
        <x:f>IF(OR(J707="positive",J707="negative"),1,0)</x:f>
        <x:v>1</x:v>
      </x:c>
    </x:row>
    <x:row r="708" ht="15">
      <x:c r="A708" s="2" t="s">
        <x:v>58</x:v>
      </x:c>
      <x:c r="B708" s="2" t="s">
        <x:v>261</x:v>
      </x:c>
      <x:c r="C708" s="2">
        <x:v>2</x:v>
      </x:c>
      <x:c r="D708" s="2" t="s">
        <x:v>18</x:v>
      </x:c>
      <x:c r="E708" s="2" t="s">
        <x:v>303</x:v>
      </x:c>
      <x:c r="F708" s="7">
        <x:v>-2.7609999999999999E-2</x:v>
      </x:c>
      <x:c r="G708" s="2" t="s">
        <x:v>304</x:v>
      </x:c>
      <x:c r="H708" s="8">
        <x:v>7.4999999999999997E-2</x:v>
      </x:c>
      <x:c r="I708" s="9" t="n">
        <x:f t="shared" si="11">IFERROR(ABS(F708)/H708,"")</x:f>
        <x:v>0.3681333333333333</x:v>
      </x:c>
      <x:c r="J708" s="2" t="s">
        <x:v>298</x:v>
      </x:c>
      <x:c r="K708" s="8">
        <x:v>0.92700000000000005</x:v>
      </x:c>
      <x:c r="L708" s="2" t="s">
        <x:v>299</x:v>
      </x:c>
      <x:c r="M708" s="2">
        <x:v>1</x:v>
      </x:c>
      <x:c r="N708" s="2" t="s">
        <x:v>79</x:v>
      </x:c>
      <x:c r="O708" s="5">
        <x:v>54.3</x:v>
      </x:c>
      <x:c r="P708" s="2">
        <x:v>499</x:v>
      </x:c>
      <x:c r="Q708" s="2" t="n">
        <x:f>IF(OR(J708="positive",J708="negative"),1,0)</x:f>
        <x:v>1</x:v>
      </x:c>
    </x:row>
    <x:row r="709" ht="15">
      <x:c r="A709" s="2" t="s">
        <x:v>58</x:v>
      </x:c>
      <x:c r="B709" s="2" t="s">
        <x:v>261</x:v>
      </x:c>
      <x:c r="C709" s="2">
        <x:v>2</x:v>
      </x:c>
      <x:c r="D709" s="2" t="s">
        <x:v>305</x:v>
      </x:c>
      <x:c r="E709" s="2" t="s">
        <x:v>306</x:v>
      </x:c>
      <x:c r="F709" s="7">
        <x:v>4.2119999999999998E-2</x:v>
      </x:c>
      <x:c r="G709" s="2" t="s">
        <x:v>304</x:v>
      </x:c>
      <x:c r="H709" s="8">
        <x:v>0.3</x:v>
      </x:c>
      <x:c r="I709" s="9" t="n">
        <x:f t="shared" si="11">IFERROR(ABS(F709)/H709,"")</x:f>
        <x:v>0.1404</x:v>
      </x:c>
      <x:c r="J709" s="2" t="s">
        <x:v>298</x:v>
      </x:c>
      <x:c r="K709" s="8">
        <x:v>0.93196000000000001</x:v>
      </x:c>
      <x:c r="L709" s="2" t="s">
        <x:v>299</x:v>
      </x:c>
      <x:c r="M709" s="2">
        <x:v>1</x:v>
      </x:c>
      <x:c r="N709" s="2" t="s">
        <x:v>79</x:v>
      </x:c>
      <x:c r="O709" s="5">
        <x:v>54.3</x:v>
      </x:c>
      <x:c r="P709" s="2">
        <x:v>499</x:v>
      </x:c>
      <x:c r="Q709" s="2" t="n">
        <x:f>IF(OR(J709="positive",J709="negative"),1,0)</x:f>
        <x:v>1</x:v>
      </x:c>
    </x:row>
    <x:row r="710" ht="15">
      <x:c r="A710" s="2" t="s">
        <x:v>58</x:v>
      </x:c>
      <x:c r="B710" s="2" t="s">
        <x:v>262</x:v>
      </x:c>
      <x:c r="C710" s="2">
        <x:v>3</x:v>
      </x:c>
      <x:c r="D710" s="2" t="s">
        <x:v>295</x:v>
      </x:c>
      <x:c r="E710" s="2" t="s">
        <x:v>296</x:v>
      </x:c>
      <x:c r="F710" s="7">
        <x:v>0.15817999999999999</x:v>
      </x:c>
      <x:c r="G710" s="2" t="s">
        <x:v>297</x:v>
      </x:c>
      <x:c r="H710" s="8">
        <x:v>3.5</x:v>
      </x:c>
      <x:c r="I710" s="9" t="n">
        <x:f t="shared" si="11">IFERROR(ABS(F710)/H710,"")</x:f>
        <x:v>0.04519428571428571</x:v>
      </x:c>
      <x:c r="J710" s="2" t="s">
        <x:v>298</x:v>
      </x:c>
      <x:c r="K710" s="8">
        <x:v>0.98709999999999998</x:v>
      </x:c>
      <x:c r="L710" s="2" t="s">
        <x:v>299</x:v>
      </x:c>
      <x:c r="M710" s="2">
        <x:v>1</x:v>
      </x:c>
      <x:c r="N710" s="2" t="s">
        <x:v>79</x:v>
      </x:c>
      <x:c r="O710" s="5">
        <x:v>61.6</x:v>
      </x:c>
      <x:c r="P710" s="2">
        <x:v>385</x:v>
      </x:c>
      <x:c r="Q710" s="2" t="n">
        <x:f>IF(OR(J710="positive",J710="negative"),1,0)</x:f>
        <x:v>1</x:v>
      </x:c>
    </x:row>
    <x:row r="711" ht="15">
      <x:c r="A711" s="2" t="s">
        <x:v>58</x:v>
      </x:c>
      <x:c r="B711" s="2" t="s">
        <x:v>262</x:v>
      </x:c>
      <x:c r="C711" s="2">
        <x:v>3</x:v>
      </x:c>
      <x:c r="D711" s="2" t="s">
        <x:v>300</x:v>
      </x:c>
      <x:c r="E711" s="2" t="s">
        <x:v>301</x:v>
      </x:c>
      <x:c r="F711" s="7">
        <x:v>4.7160000000000001E-2</x:v>
      </x:c>
      <x:c r="G711" s="2" t="s">
        <x:v>302</x:v>
      </x:c>
      <x:c r="H711" s="8">
        <x:v>0.45</x:v>
      </x:c>
      <x:c r="I711" s="9" t="n">
        <x:f t="shared" si="11">IFERROR(ABS(F711)/H711,"")</x:f>
        <x:v>0.1048</x:v>
      </x:c>
      <x:c r="J711" s="2" t="s">
        <x:v>298</x:v>
      </x:c>
      <x:c r="K711" s="8">
        <x:v>0.87773000000000001</x:v>
      </x:c>
      <x:c r="L711" s="2" t="s">
        <x:v>299</x:v>
      </x:c>
      <x:c r="M711" s="2">
        <x:v>1</x:v>
      </x:c>
      <x:c r="N711" s="2" t="s">
        <x:v>79</x:v>
      </x:c>
      <x:c r="O711" s="5">
        <x:v>61.6</x:v>
      </x:c>
      <x:c r="P711" s="2">
        <x:v>385</x:v>
      </x:c>
      <x:c r="Q711" s="2" t="n">
        <x:f>IF(OR(J711="positive",J711="negative"),1,0)</x:f>
        <x:v>1</x:v>
      </x:c>
    </x:row>
    <x:row r="712" ht="15">
      <x:c r="A712" s="2" t="s">
        <x:v>58</x:v>
      </x:c>
      <x:c r="B712" s="2" t="s">
        <x:v>262</x:v>
      </x:c>
      <x:c r="C712" s="2">
        <x:v>3</x:v>
      </x:c>
      <x:c r="D712" s="2" t="s">
        <x:v>18</x:v>
      </x:c>
      <x:c r="E712" s="2" t="s">
        <x:v>303</x:v>
      </x:c>
      <x:c r="F712" s="7">
        <x:v>-2.2589999999999999E-2</x:v>
      </x:c>
      <x:c r="G712" s="2" t="s">
        <x:v>304</x:v>
      </x:c>
      <x:c r="H712" s="8">
        <x:v>7.4999999999999997E-2</x:v>
      </x:c>
      <x:c r="I712" s="9" t="n">
        <x:f t="shared" si="11">IFERROR(ABS(F712)/H712,"")</x:f>
        <x:v>0.3012</x:v>
      </x:c>
      <x:c r="J712" s="2" t="s">
        <x:v>298</x:v>
      </x:c>
      <x:c r="K712" s="8">
        <x:v>0.93479000000000001</x:v>
      </x:c>
      <x:c r="L712" s="2" t="s">
        <x:v>299</x:v>
      </x:c>
      <x:c r="M712" s="2">
        <x:v>1</x:v>
      </x:c>
      <x:c r="N712" s="2" t="s">
        <x:v>79</x:v>
      </x:c>
      <x:c r="O712" s="5">
        <x:v>61.6</x:v>
      </x:c>
      <x:c r="P712" s="2">
        <x:v>385</x:v>
      </x:c>
      <x:c r="Q712" s="2" t="n">
        <x:f>IF(OR(J712="positive",J712="negative"),1,0)</x:f>
        <x:v>1</x:v>
      </x:c>
    </x:row>
    <x:row r="713" ht="15">
      <x:c r="A713" s="2" t="s">
        <x:v>58</x:v>
      </x:c>
      <x:c r="B713" s="2" t="s">
        <x:v>262</x:v>
      </x:c>
      <x:c r="C713" s="2">
        <x:v>3</x:v>
      </x:c>
      <x:c r="D713" s="2" t="s">
        <x:v>305</x:v>
      </x:c>
      <x:c r="E713" s="2" t="s">
        <x:v>306</x:v>
      </x:c>
      <x:c r="F713" s="7">
        <x:v>2.1870000000000001E-2</x:v>
      </x:c>
      <x:c r="G713" s="2" t="s">
        <x:v>304</x:v>
      </x:c>
      <x:c r="H713" s="8">
        <x:v>0.3</x:v>
      </x:c>
      <x:c r="I713" s="9" t="n">
        <x:f t="shared" si="11">IFERROR(ABS(F713)/H713,"")</x:f>
        <x:v>0.0729</x:v>
      </x:c>
      <x:c r="J713" s="2" t="s">
        <x:v>298</x:v>
      </x:c>
      <x:c r="K713" s="8">
        <x:v>0.95891999999999999</x:v>
      </x:c>
      <x:c r="L713" s="2" t="s">
        <x:v>299</x:v>
      </x:c>
      <x:c r="M713" s="2">
        <x:v>1</x:v>
      </x:c>
      <x:c r="N713" s="2" t="s">
        <x:v>79</x:v>
      </x:c>
      <x:c r="O713" s="5">
        <x:v>61.6</x:v>
      </x:c>
      <x:c r="P713" s="2">
        <x:v>385</x:v>
      </x:c>
      <x:c r="Q713" s="2" t="n">
        <x:f>IF(OR(J713="positive",J713="negative"),1,0)</x:f>
        <x:v>1</x:v>
      </x:c>
    </x:row>
    <x:row r="714" ht="15">
      <x:c r="A714" s="2" t="s">
        <x:v>58</x:v>
      </x:c>
      <x:c r="B714" s="2" t="s">
        <x:v>263</x:v>
      </x:c>
      <x:c r="C714" s="2">
        <x:v>4</x:v>
      </x:c>
      <x:c r="D714" s="2" t="s">
        <x:v>295</x:v>
      </x:c>
      <x:c r="E714" s="2" t="s">
        <x:v>296</x:v>
      </x:c>
      <x:c r="F714" s="7">
        <x:v>0.12239999999999999</x:v>
      </x:c>
      <x:c r="G714" s="2" t="s">
        <x:v>297</x:v>
      </x:c>
      <x:c r="H714" s="8">
        <x:v>3.5</x:v>
      </x:c>
      <x:c r="I714" s="9" t="n">
        <x:f t="shared" si="11">IFERROR(ABS(F714)/H714,"")</x:f>
        <x:v>0.03497142857142857</x:v>
      </x:c>
      <x:c r="J714" s="2" t="s">
        <x:v>298</x:v>
      </x:c>
      <x:c r="K714" s="8">
        <x:v>0.94062000000000001</x:v>
      </x:c>
      <x:c r="L714" s="2" t="s">
        <x:v>299</x:v>
      </x:c>
      <x:c r="M714" s="2">
        <x:v>1</x:v>
      </x:c>
      <x:c r="N714" s="2" t="s">
        <x:v>79</x:v>
      </x:c>
      <x:c r="O714" s="5">
        <x:v>60.7</x:v>
      </x:c>
      <x:c r="P714" s="2">
        <x:v>398</x:v>
      </x:c>
      <x:c r="Q714" s="2" t="n">
        <x:f>IF(OR(J714="positive",J714="negative"),1,0)</x:f>
        <x:v>1</x:v>
      </x:c>
    </x:row>
    <x:row r="715" ht="15">
      <x:c r="A715" s="2" t="s">
        <x:v>58</x:v>
      </x:c>
      <x:c r="B715" s="2" t="s">
        <x:v>263</x:v>
      </x:c>
      <x:c r="C715" s="2">
        <x:v>4</x:v>
      </x:c>
      <x:c r="D715" s="2" t="s">
        <x:v>300</x:v>
      </x:c>
      <x:c r="E715" s="2" t="s">
        <x:v>301</x:v>
      </x:c>
      <x:c r="F715" s="7">
        <x:v>5.0290000000000001E-2</x:v>
      </x:c>
      <x:c r="G715" s="2" t="s">
        <x:v>302</x:v>
      </x:c>
      <x:c r="H715" s="8">
        <x:v>0.45</x:v>
      </x:c>
      <x:c r="I715" s="9" t="n">
        <x:f t="shared" si="11">IFERROR(ABS(F715)/H715,"")</x:f>
        <x:v>0.11175555555555555</x:v>
      </x:c>
      <x:c r="J715" s="2" t="s">
        <x:v>298</x:v>
      </x:c>
      <x:c r="K715" s="8">
        <x:v>0.92471999999999999</x:v>
      </x:c>
      <x:c r="L715" s="2" t="s">
        <x:v>299</x:v>
      </x:c>
      <x:c r="M715" s="2">
        <x:v>1</x:v>
      </x:c>
      <x:c r="N715" s="2" t="s">
        <x:v>79</x:v>
      </x:c>
      <x:c r="O715" s="5">
        <x:v>60.7</x:v>
      </x:c>
      <x:c r="P715" s="2">
        <x:v>398</x:v>
      </x:c>
      <x:c r="Q715" s="2" t="n">
        <x:f>IF(OR(J715="positive",J715="negative"),1,0)</x:f>
        <x:v>1</x:v>
      </x:c>
    </x:row>
    <x:row r="716" ht="15">
      <x:c r="A716" s="2" t="s">
        <x:v>58</x:v>
      </x:c>
      <x:c r="B716" s="2" t="s">
        <x:v>263</x:v>
      </x:c>
      <x:c r="C716" s="2">
        <x:v>4</x:v>
      </x:c>
      <x:c r="D716" s="2" t="s">
        <x:v>18</x:v>
      </x:c>
      <x:c r="E716" s="2" t="s">
        <x:v>303</x:v>
      </x:c>
      <x:c r="F716" s="7">
        <x:v>-2.5669999999999998E-2</x:v>
      </x:c>
      <x:c r="G716" s="2" t="s">
        <x:v>304</x:v>
      </x:c>
      <x:c r="H716" s="8">
        <x:v>7.4999999999999997E-2</x:v>
      </x:c>
      <x:c r="I716" s="9" t="n">
        <x:f t="shared" si="11">IFERROR(ABS(F716)/H716,"")</x:f>
        <x:v>0.34226666666666666</x:v>
      </x:c>
      <x:c r="J716" s="2" t="s">
        <x:v>298</x:v>
      </x:c>
      <x:c r="K716" s="8">
        <x:v>0.97097</x:v>
      </x:c>
      <x:c r="L716" s="2" t="s">
        <x:v>299</x:v>
      </x:c>
      <x:c r="M716" s="2">
        <x:v>1</x:v>
      </x:c>
      <x:c r="N716" s="2" t="s">
        <x:v>79</x:v>
      </x:c>
      <x:c r="O716" s="5">
        <x:v>60.7</x:v>
      </x:c>
      <x:c r="P716" s="2">
        <x:v>398</x:v>
      </x:c>
      <x:c r="Q716" s="2" t="n">
        <x:f>IF(OR(J716="positive",J716="negative"),1,0)</x:f>
        <x:v>1</x:v>
      </x:c>
    </x:row>
    <x:row r="717" ht="15">
      <x:c r="A717" s="2" t="s">
        <x:v>58</x:v>
      </x:c>
      <x:c r="B717" s="2" t="s">
        <x:v>263</x:v>
      </x:c>
      <x:c r="C717" s="2">
        <x:v>4</x:v>
      </x:c>
      <x:c r="D717" s="2" t="s">
        <x:v>305</x:v>
      </x:c>
      <x:c r="E717" s="2" t="s">
        <x:v>306</x:v>
      </x:c>
      <x:c r="F717" s="7">
        <x:v>1.984E-2</x:v>
      </x:c>
      <x:c r="G717" s="2" t="s">
        <x:v>304</x:v>
      </x:c>
      <x:c r="H717" s="8">
        <x:v>0.3</x:v>
      </x:c>
      <x:c r="I717" s="9" t="n">
        <x:f t="shared" si="11">IFERROR(ABS(F717)/H717,"")</x:f>
        <x:v>0.06613333333333334</x:v>
      </x:c>
      <x:c r="J717" s="2" t="s">
        <x:v>298</x:v>
      </x:c>
      <x:c r="K717" s="8">
        <x:v>0.98070999999999997</x:v>
      </x:c>
      <x:c r="L717" s="2" t="s">
        <x:v>299</x:v>
      </x:c>
      <x:c r="M717" s="2">
        <x:v>1</x:v>
      </x:c>
      <x:c r="N717" s="2" t="s">
        <x:v>79</x:v>
      </x:c>
      <x:c r="O717" s="5">
        <x:v>60.7</x:v>
      </x:c>
      <x:c r="P717" s="2">
        <x:v>398</x:v>
      </x:c>
      <x:c r="Q717" s="2" t="n">
        <x:f>IF(OR(J717="positive",J717="negative"),1,0)</x:f>
        <x:v>1</x:v>
      </x:c>
    </x:row>
    <x:row r="718" ht="15">
      <x:c r="A718" s="2" t="s">
        <x:v>58</x:v>
      </x:c>
      <x:c r="B718" s="2" t="s">
        <x:v>264</x:v>
      </x:c>
      <x:c r="C718" s="2">
        <x:v>5</x:v>
      </x:c>
      <x:c r="D718" s="2" t="s">
        <x:v>295</x:v>
      </x:c>
      <x:c r="E718" s="2" t="s">
        <x:v>296</x:v>
      </x:c>
      <x:c r="F718" s="7">
        <x:v>0.41341</x:v>
      </x:c>
      <x:c r="G718" s="2" t="s">
        <x:v>297</x:v>
      </x:c>
      <x:c r="H718" s="8">
        <x:v>3.5</x:v>
      </x:c>
      <x:c r="I718" s="9" t="n">
        <x:f t="shared" si="11">IFERROR(ABS(F718)/H718,"")</x:f>
        <x:v>0.11811714285714285</x:v>
      </x:c>
      <x:c r="J718" s="2" t="s">
        <x:v>298</x:v>
      </x:c>
      <x:c r="K718" s="8">
        <x:v>0.95072000000000001</x:v>
      </x:c>
      <x:c r="L718" s="2" t="s">
        <x:v>299</x:v>
      </x:c>
      <x:c r="M718" s="2">
        <x:v>1</x:v>
      </x:c>
      <x:c r="N718" s="2" t="s">
        <x:v>79</x:v>
      </x:c>
      <x:c r="O718" s="5">
        <x:v>59.4</x:v>
      </x:c>
      <x:c r="P718" s="2">
        <x:v>401</x:v>
      </x:c>
      <x:c r="Q718" s="2" t="n">
        <x:f>IF(OR(J718="positive",J718="negative"),1,0)</x:f>
        <x:v>1</x:v>
      </x:c>
    </x:row>
    <x:row r="719" ht="15">
      <x:c r="A719" s="2" t="s">
        <x:v>58</x:v>
      </x:c>
      <x:c r="B719" s="2" t="s">
        <x:v>264</x:v>
      </x:c>
      <x:c r="C719" s="2">
        <x:v>5</x:v>
      </x:c>
      <x:c r="D719" s="2" t="s">
        <x:v>300</x:v>
      </x:c>
      <x:c r="E719" s="2" t="s">
        <x:v>301</x:v>
      </x:c>
      <x:c r="F719" s="7">
        <x:v>5.6860000000000001E-2</x:v>
      </x:c>
      <x:c r="G719" s="2" t="s">
        <x:v>302</x:v>
      </x:c>
      <x:c r="H719" s="8">
        <x:v>0.45</x:v>
      </x:c>
      <x:c r="I719" s="9" t="n">
        <x:f t="shared" si="11">IFERROR(ABS(F719)/H719,"")</x:f>
        <x:v>0.12635555555555555</x:v>
      </x:c>
      <x:c r="J719" s="2" t="s">
        <x:v>298</x:v>
      </x:c>
      <x:c r="K719" s="8">
        <x:v>0.91900000000000004</x:v>
      </x:c>
      <x:c r="L719" s="2" t="s">
        <x:v>299</x:v>
      </x:c>
      <x:c r="M719" s="2">
        <x:v>1</x:v>
      </x:c>
      <x:c r="N719" s="2" t="s">
        <x:v>79</x:v>
      </x:c>
      <x:c r="O719" s="5">
        <x:v>59.4</x:v>
      </x:c>
      <x:c r="P719" s="2">
        <x:v>401</x:v>
      </x:c>
      <x:c r="Q719" s="2" t="n">
        <x:f>IF(OR(J719="positive",J719="negative"),1,0)</x:f>
        <x:v>1</x:v>
      </x:c>
    </x:row>
    <x:row r="720" ht="15">
      <x:c r="A720" s="2" t="s">
        <x:v>58</x:v>
      </x:c>
      <x:c r="B720" s="2" t="s">
        <x:v>264</x:v>
      </x:c>
      <x:c r="C720" s="2">
        <x:v>5</x:v>
      </x:c>
      <x:c r="D720" s="2" t="s">
        <x:v>18</x:v>
      </x:c>
      <x:c r="E720" s="2" t="s">
        <x:v>303</x:v>
      </x:c>
      <x:c r="F720" s="7">
        <x:v>-2.274E-2</x:v>
      </x:c>
      <x:c r="G720" s="2" t="s">
        <x:v>304</x:v>
      </x:c>
      <x:c r="H720" s="8">
        <x:v>7.4999999999999997E-2</x:v>
      </x:c>
      <x:c r="I720" s="9" t="n">
        <x:f t="shared" si="11">IFERROR(ABS(F720)/H720,"")</x:f>
        <x:v>0.3032</x:v>
      </x:c>
      <x:c r="J720" s="2" t="s">
        <x:v>298</x:v>
      </x:c>
      <x:c r="K720" s="8">
        <x:v>0.96036999999999995</x:v>
      </x:c>
      <x:c r="L720" s="2" t="s">
        <x:v>299</x:v>
      </x:c>
      <x:c r="M720" s="2">
        <x:v>1</x:v>
      </x:c>
      <x:c r="N720" s="2" t="s">
        <x:v>79</x:v>
      </x:c>
      <x:c r="O720" s="5">
        <x:v>59.4</x:v>
      </x:c>
      <x:c r="P720" s="2">
        <x:v>401</x:v>
      </x:c>
      <x:c r="Q720" s="2" t="n">
        <x:f>IF(OR(J720="positive",J720="negative"),1,0)</x:f>
        <x:v>1</x:v>
      </x:c>
    </x:row>
    <x:row r="721" ht="15">
      <x:c r="A721" s="2" t="s">
        <x:v>58</x:v>
      </x:c>
      <x:c r="B721" s="2" t="s">
        <x:v>264</x:v>
      </x:c>
      <x:c r="C721" s="2">
        <x:v>5</x:v>
      </x:c>
      <x:c r="D721" s="2" t="s">
        <x:v>305</x:v>
      </x:c>
      <x:c r="E721" s="2" t="s">
        <x:v>306</x:v>
      </x:c>
      <x:c r="F721" s="7">
        <x:v>1.018E-2</x:v>
      </x:c>
      <x:c r="G721" s="2" t="s">
        <x:v>304</x:v>
      </x:c>
      <x:c r="H721" s="8">
        <x:v>0.3</x:v>
      </x:c>
      <x:c r="I721" s="9" t="n">
        <x:f t="shared" si="11">IFERROR(ABS(F721)/H721,"")</x:f>
        <x:v>0.033933333333333336</x:v>
      </x:c>
      <x:c r="J721" s="2" t="s">
        <x:v>298</x:v>
      </x:c>
      <x:c r="K721" s="8">
        <x:v>0.88209000000000004</x:v>
      </x:c>
      <x:c r="L721" s="2" t="s">
        <x:v>299</x:v>
      </x:c>
      <x:c r="M721" s="2">
        <x:v>1</x:v>
      </x:c>
      <x:c r="N721" s="2" t="s">
        <x:v>79</x:v>
      </x:c>
      <x:c r="O721" s="5">
        <x:v>59.4</x:v>
      </x:c>
      <x:c r="P721" s="2">
        <x:v>401</x:v>
      </x:c>
      <x:c r="Q721" s="2" t="n">
        <x:f>IF(OR(J721="positive",J721="negative"),1,0)</x:f>
        <x:v>1</x:v>
      </x:c>
    </x:row>
    <x:row r="722" ht="15">
      <x:c r="A722" s="2" t="s">
        <x:v>59</x:v>
      </x:c>
      <x:c r="B722" s="2" t="s">
        <x:v>265</x:v>
      </x:c>
      <x:c r="C722" s="2">
        <x:v>1</x:v>
      </x:c>
      <x:c r="D722" s="2" t="s">
        <x:v>295</x:v>
      </x:c>
      <x:c r="E722" s="2" t="s">
        <x:v>296</x:v>
      </x:c>
      <x:c r="F722" s="7">
        <x:v>0.45995000000000003</x:v>
      </x:c>
      <x:c r="G722" s="2" t="s">
        <x:v>297</x:v>
      </x:c>
      <x:c r="H722" s="8">
        <x:v>3.5</x:v>
      </x:c>
      <x:c r="I722" s="9" t="n">
        <x:f t="shared" si="11">IFERROR(ABS(F722)/H722,"")</x:f>
        <x:v>0.13141428571428573</x:v>
      </x:c>
      <x:c r="J722" s="2" t="s">
        <x:v>298</x:v>
      </x:c>
      <x:c r="K722" s="8">
        <x:v>0.93769000000000002</x:v>
      </x:c>
      <x:c r="L722" s="2" t="s">
        <x:v>299</x:v>
      </x:c>
      <x:c r="M722" s="2">
        <x:v>1</x:v>
      </x:c>
      <x:c r="N722" s="2" t="s">
        <x:v>79</x:v>
      </x:c>
      <x:c r="O722" s="5">
        <x:v>56.2</x:v>
      </x:c>
      <x:c r="P722" s="2">
        <x:v>457</x:v>
      </x:c>
      <x:c r="Q722" s="2" t="n">
        <x:f>IF(OR(J722="positive",J722="negative"),1,0)</x:f>
        <x:v>1</x:v>
      </x:c>
    </x:row>
    <x:row r="723" ht="15">
      <x:c r="A723" s="2" t="s">
        <x:v>59</x:v>
      </x:c>
      <x:c r="B723" s="2" t="s">
        <x:v>265</x:v>
      </x:c>
      <x:c r="C723" s="2">
        <x:v>1</x:v>
      </x:c>
      <x:c r="D723" s="2" t="s">
        <x:v>300</x:v>
      </x:c>
      <x:c r="E723" s="2" t="s">
        <x:v>301</x:v>
      </x:c>
      <x:c r="F723" s="7">
        <x:v>3.1669999999999997E-2</x:v>
      </x:c>
      <x:c r="G723" s="2" t="s">
        <x:v>302</x:v>
      </x:c>
      <x:c r="H723" s="8">
        <x:v>0.45</x:v>
      </x:c>
      <x:c r="I723" s="9" t="n">
        <x:f t="shared" si="11">IFERROR(ABS(F723)/H723,"")</x:f>
        <x:v>0.07037777777777778</x:v>
      </x:c>
      <x:c r="J723" s="2" t="s">
        <x:v>298</x:v>
      </x:c>
      <x:c r="K723" s="8">
        <x:v>0.97828000000000004</x:v>
      </x:c>
      <x:c r="L723" s="2" t="s">
        <x:v>299</x:v>
      </x:c>
      <x:c r="M723" s="2">
        <x:v>1</x:v>
      </x:c>
      <x:c r="N723" s="2" t="s">
        <x:v>79</x:v>
      </x:c>
      <x:c r="O723" s="5">
        <x:v>56.2</x:v>
      </x:c>
      <x:c r="P723" s="2">
        <x:v>457</x:v>
      </x:c>
      <x:c r="Q723" s="2" t="n">
        <x:f>IF(OR(J723="positive",J723="negative"),1,0)</x:f>
        <x:v>1</x:v>
      </x:c>
    </x:row>
    <x:row r="724" ht="15">
      <x:c r="A724" s="2" t="s">
        <x:v>59</x:v>
      </x:c>
      <x:c r="B724" s="2" t="s">
        <x:v>265</x:v>
      </x:c>
      <x:c r="C724" s="2">
        <x:v>1</x:v>
      </x:c>
      <x:c r="D724" s="2" t="s">
        <x:v>18</x:v>
      </x:c>
      <x:c r="E724" s="2" t="s">
        <x:v>303</x:v>
      </x:c>
      <x:c r="F724" s="7">
        <x:v>4.5599999999999998E-3</x:v>
      </x:c>
      <x:c r="G724" s="2" t="s">
        <x:v>304</x:v>
      </x:c>
      <x:c r="H724" s="8">
        <x:v>7.4999999999999997E-2</x:v>
      </x:c>
      <x:c r="I724" s="9" t="n">
        <x:f t="shared" si="11">IFERROR(ABS(F724)/H724,"")</x:f>
        <x:v>0.0608</x:v>
      </x:c>
      <x:c r="J724" s="2" t="s">
        <x:v>298</x:v>
      </x:c>
      <x:c r="K724" s="8">
        <x:v>0.94982999999999995</x:v>
      </x:c>
      <x:c r="L724" s="2" t="s">
        <x:v>299</x:v>
      </x:c>
      <x:c r="M724" s="2">
        <x:v>1</x:v>
      </x:c>
      <x:c r="N724" s="2" t="s">
        <x:v>79</x:v>
      </x:c>
      <x:c r="O724" s="5">
        <x:v>56.2</x:v>
      </x:c>
      <x:c r="P724" s="2">
        <x:v>457</x:v>
      </x:c>
      <x:c r="Q724" s="2" t="n">
        <x:f>IF(OR(J724="positive",J724="negative"),1,0)</x:f>
        <x:v>1</x:v>
      </x:c>
    </x:row>
    <x:row r="725" ht="15">
      <x:c r="A725" s="2" t="s">
        <x:v>59</x:v>
      </x:c>
      <x:c r="B725" s="2" t="s">
        <x:v>265</x:v>
      </x:c>
      <x:c r="C725" s="2">
        <x:v>1</x:v>
      </x:c>
      <x:c r="D725" s="2" t="s">
        <x:v>305</x:v>
      </x:c>
      <x:c r="E725" s="2" t="s">
        <x:v>306</x:v>
      </x:c>
      <x:c r="F725" s="7">
        <x:v>-4.3180000000000003E-2</x:v>
      </x:c>
      <x:c r="G725" s="2" t="s">
        <x:v>304</x:v>
      </x:c>
      <x:c r="H725" s="8">
        <x:v>0.3</x:v>
      </x:c>
      <x:c r="I725" s="9" t="n">
        <x:f t="shared" si="11">IFERROR(ABS(F725)/H725,"")</x:f>
        <x:v>0.14393333333333336</x:v>
      </x:c>
      <x:c r="J725" s="2" t="s">
        <x:v>298</x:v>
      </x:c>
      <x:c r="K725" s="8">
        <x:v>0.91452</x:v>
      </x:c>
      <x:c r="L725" s="2" t="s">
        <x:v>299</x:v>
      </x:c>
      <x:c r="M725" s="2">
        <x:v>1</x:v>
      </x:c>
      <x:c r="N725" s="2" t="s">
        <x:v>79</x:v>
      </x:c>
      <x:c r="O725" s="5">
        <x:v>56.2</x:v>
      </x:c>
      <x:c r="P725" s="2">
        <x:v>457</x:v>
      </x:c>
      <x:c r="Q725" s="2" t="n">
        <x:f>IF(OR(J725="positive",J725="negative"),1,0)</x:f>
        <x:v>1</x:v>
      </x:c>
    </x:row>
    <x:row r="726" ht="15">
      <x:c r="A726" s="2" t="s">
        <x:v>59</x:v>
      </x:c>
      <x:c r="B726" s="2" t="s">
        <x:v>266</x:v>
      </x:c>
      <x:c r="C726" s="2">
        <x:v>2</x:v>
      </x:c>
      <x:c r="D726" s="2" t="s">
        <x:v>295</x:v>
      </x:c>
      <x:c r="E726" s="2" t="s">
        <x:v>296</x:v>
      </x:c>
      <x:c r="F726" s="7">
        <x:v>0.72743000000000002</x:v>
      </x:c>
      <x:c r="G726" s="2" t="s">
        <x:v>297</x:v>
      </x:c>
      <x:c r="H726" s="8">
        <x:v>3.5</x:v>
      </x:c>
      <x:c r="I726" s="9" t="n">
        <x:f t="shared" si="11">IFERROR(ABS(F726)/H726,"")</x:f>
        <x:v>0.20783714285714286</x:v>
      </x:c>
      <x:c r="J726" s="2" t="s">
        <x:v>298</x:v>
      </x:c>
      <x:c r="K726" s="8">
        <x:v>0.97301000000000004</x:v>
      </x:c>
      <x:c r="L726" s="2" t="s">
        <x:v>299</x:v>
      </x:c>
      <x:c r="M726" s="2">
        <x:v>1</x:v>
      </x:c>
      <x:c r="N726" s="2" t="s">
        <x:v>79</x:v>
      </x:c>
      <x:c r="O726" s="5">
        <x:v>59.7</x:v>
      </x:c>
      <x:c r="P726" s="2">
        <x:v>429</x:v>
      </x:c>
      <x:c r="Q726" s="2" t="n">
        <x:f>IF(OR(J726="positive",J726="negative"),1,0)</x:f>
        <x:v>1</x:v>
      </x:c>
    </x:row>
    <x:row r="727" ht="15">
      <x:c r="A727" s="2" t="s">
        <x:v>59</x:v>
      </x:c>
      <x:c r="B727" s="2" t="s">
        <x:v>266</x:v>
      </x:c>
      <x:c r="C727" s="2">
        <x:v>2</x:v>
      </x:c>
      <x:c r="D727" s="2" t="s">
        <x:v>300</x:v>
      </x:c>
      <x:c r="E727" s="2" t="s">
        <x:v>301</x:v>
      </x:c>
      <x:c r="F727" s="7">
        <x:v>4.947E-2</x:v>
      </x:c>
      <x:c r="G727" s="2" t="s">
        <x:v>302</x:v>
      </x:c>
      <x:c r="H727" s="8">
        <x:v>0.45</x:v>
      </x:c>
      <x:c r="I727" s="9" t="n">
        <x:f t="shared" si="11">IFERROR(ABS(F727)/H727,"")</x:f>
        <x:v>0.10993333333333333</x:v>
      </x:c>
      <x:c r="J727" s="2" t="s">
        <x:v>298</x:v>
      </x:c>
      <x:c r="K727" s="8">
        <x:v>0.88560000000000005</x:v>
      </x:c>
      <x:c r="L727" s="2" t="s">
        <x:v>299</x:v>
      </x:c>
      <x:c r="M727" s="2">
        <x:v>1</x:v>
      </x:c>
      <x:c r="N727" s="2" t="s">
        <x:v>79</x:v>
      </x:c>
      <x:c r="O727" s="5">
        <x:v>59.7</x:v>
      </x:c>
      <x:c r="P727" s="2">
        <x:v>429</x:v>
      </x:c>
      <x:c r="Q727" s="2" t="n">
        <x:f>IF(OR(J727="positive",J727="negative"),1,0)</x:f>
        <x:v>1</x:v>
      </x:c>
    </x:row>
    <x:row r="728" ht="15">
      <x:c r="A728" s="2" t="s">
        <x:v>59</x:v>
      </x:c>
      <x:c r="B728" s="2" t="s">
        <x:v>266</x:v>
      </x:c>
      <x:c r="C728" s="2">
        <x:v>2</x:v>
      </x:c>
      <x:c r="D728" s="2" t="s">
        <x:v>18</x:v>
      </x:c>
      <x:c r="E728" s="2" t="s">
        <x:v>303</x:v>
      </x:c>
      <x:c r="F728" s="7">
        <x:v>4.2599999999999999E-3</x:v>
      </x:c>
      <x:c r="G728" s="2" t="s">
        <x:v>304</x:v>
      </x:c>
      <x:c r="H728" s="8">
        <x:v>7.4999999999999997E-2</x:v>
      </x:c>
      <x:c r="I728" s="9" t="n">
        <x:f t="shared" si="11">IFERROR(ABS(F728)/H728,"")</x:f>
        <x:v>0.0568</x:v>
      </x:c>
      <x:c r="J728" s="2" t="s">
        <x:v>298</x:v>
      </x:c>
      <x:c r="K728" s="8">
        <x:v>0.92937999999999998</x:v>
      </x:c>
      <x:c r="L728" s="2" t="s">
        <x:v>299</x:v>
      </x:c>
      <x:c r="M728" s="2">
        <x:v>1</x:v>
      </x:c>
      <x:c r="N728" s="2" t="s">
        <x:v>79</x:v>
      </x:c>
      <x:c r="O728" s="5">
        <x:v>59.7</x:v>
      </x:c>
      <x:c r="P728" s="2">
        <x:v>429</x:v>
      </x:c>
      <x:c r="Q728" s="2" t="n">
        <x:f>IF(OR(J728="positive",J728="negative"),1,0)</x:f>
        <x:v>1</x:v>
      </x:c>
    </x:row>
    <x:row r="729" ht="15">
      <x:c r="A729" s="2" t="s">
        <x:v>59</x:v>
      </x:c>
      <x:c r="B729" s="2" t="s">
        <x:v>266</x:v>
      </x:c>
      <x:c r="C729" s="2">
        <x:v>2</x:v>
      </x:c>
      <x:c r="D729" s="2" t="s">
        <x:v>305</x:v>
      </x:c>
      <x:c r="E729" s="2" t="s">
        <x:v>306</x:v>
      </x:c>
      <x:c r="F729" s="7">
        <x:v>-5.67E-2</x:v>
      </x:c>
      <x:c r="G729" s="2" t="s">
        <x:v>304</x:v>
      </x:c>
      <x:c r="H729" s="8">
        <x:v>0.3</x:v>
      </x:c>
      <x:c r="I729" s="9" t="n">
        <x:f t="shared" si="11">IFERROR(ABS(F729)/H729,"")</x:f>
        <x:v>0.189</x:v>
      </x:c>
      <x:c r="J729" s="2" t="s">
        <x:v>298</x:v>
      </x:c>
      <x:c r="K729" s="8">
        <x:v>0.93298999999999999</x:v>
      </x:c>
      <x:c r="L729" s="2" t="s">
        <x:v>299</x:v>
      </x:c>
      <x:c r="M729" s="2">
        <x:v>1</x:v>
      </x:c>
      <x:c r="N729" s="2" t="s">
        <x:v>79</x:v>
      </x:c>
      <x:c r="O729" s="5">
        <x:v>59.7</x:v>
      </x:c>
      <x:c r="P729" s="2">
        <x:v>429</x:v>
      </x:c>
      <x:c r="Q729" s="2" t="n">
        <x:f>IF(OR(J729="positive",J729="negative"),1,0)</x:f>
        <x:v>1</x:v>
      </x:c>
    </x:row>
    <x:row r="730" ht="15">
      <x:c r="A730" s="2" t="s">
        <x:v>59</x:v>
      </x:c>
      <x:c r="B730" s="2" t="s">
        <x:v>267</x:v>
      </x:c>
      <x:c r="C730" s="2">
        <x:v>3</x:v>
      </x:c>
      <x:c r="D730" s="2" t="s">
        <x:v>295</x:v>
      </x:c>
      <x:c r="E730" s="2" t="s">
        <x:v>296</x:v>
      </x:c>
      <x:c r="F730" s="7">
        <x:v>0.25641999999999998</x:v>
      </x:c>
      <x:c r="G730" s="2" t="s">
        <x:v>297</x:v>
      </x:c>
      <x:c r="H730" s="8">
        <x:v>3.5</x:v>
      </x:c>
      <x:c r="I730" s="9" t="n">
        <x:f t="shared" si="11">IFERROR(ABS(F730)/H730,"")</x:f>
        <x:v>0.07326285714285714</x:v>
      </x:c>
      <x:c r="J730" s="2" t="s">
        <x:v>298</x:v>
      </x:c>
      <x:c r="K730" s="8">
        <x:v>0.97675999999999996</x:v>
      </x:c>
      <x:c r="L730" s="2" t="s">
        <x:v>299</x:v>
      </x:c>
      <x:c r="M730" s="2">
        <x:v>1</x:v>
      </x:c>
      <x:c r="N730" s="2" t="s">
        <x:v>79</x:v>
      </x:c>
      <x:c r="O730" s="5">
        <x:v>62.6</x:v>
      </x:c>
      <x:c r="P730" s="2">
        <x:v>435</x:v>
      </x:c>
      <x:c r="Q730" s="2" t="n">
        <x:f>IF(OR(J730="positive",J730="negative"),1,0)</x:f>
        <x:v>1</x:v>
      </x:c>
    </x:row>
    <x:row r="731" ht="15">
      <x:c r="A731" s="2" t="s">
        <x:v>59</x:v>
      </x:c>
      <x:c r="B731" s="2" t="s">
        <x:v>267</x:v>
      </x:c>
      <x:c r="C731" s="2">
        <x:v>3</x:v>
      </x:c>
      <x:c r="D731" s="2" t="s">
        <x:v>300</x:v>
      </x:c>
      <x:c r="E731" s="2" t="s">
        <x:v>301</x:v>
      </x:c>
      <x:c r="F731" s="7">
        <x:v>5.6090000000000001E-2</x:v>
      </x:c>
      <x:c r="G731" s="2" t="s">
        <x:v>302</x:v>
      </x:c>
      <x:c r="H731" s="8">
        <x:v>0.45</x:v>
      </x:c>
      <x:c r="I731" s="9" t="n">
        <x:f t="shared" si="11">IFERROR(ABS(F731)/H731,"")</x:f>
        <x:v>0.12464444444444445</x:v>
      </x:c>
      <x:c r="J731" s="2" t="s">
        <x:v>298</x:v>
      </x:c>
      <x:c r="K731" s="8">
        <x:v>0.94710000000000005</x:v>
      </x:c>
      <x:c r="L731" s="2" t="s">
        <x:v>299</x:v>
      </x:c>
      <x:c r="M731" s="2">
        <x:v>1</x:v>
      </x:c>
      <x:c r="N731" s="2" t="s">
        <x:v>79</x:v>
      </x:c>
      <x:c r="O731" s="5">
        <x:v>62.6</x:v>
      </x:c>
      <x:c r="P731" s="2">
        <x:v>435</x:v>
      </x:c>
      <x:c r="Q731" s="2" t="n">
        <x:f>IF(OR(J731="positive",J731="negative"),1,0)</x:f>
        <x:v>1</x:v>
      </x:c>
    </x:row>
    <x:row r="732" ht="15">
      <x:c r="A732" s="2" t="s">
        <x:v>59</x:v>
      </x:c>
      <x:c r="B732" s="2" t="s">
        <x:v>267</x:v>
      </x:c>
      <x:c r="C732" s="2">
        <x:v>3</x:v>
      </x:c>
      <x:c r="D732" s="2" t="s">
        <x:v>18</x:v>
      </x:c>
      <x:c r="E732" s="2" t="s">
        <x:v>303</x:v>
      </x:c>
      <x:c r="F732" s="7">
        <x:v>8.1300000000000001E-3</x:v>
      </x:c>
      <x:c r="G732" s="2" t="s">
        <x:v>304</x:v>
      </x:c>
      <x:c r="H732" s="8">
        <x:v>7.4999999999999997E-2</x:v>
      </x:c>
      <x:c r="I732" s="9" t="n">
        <x:f t="shared" si="11">IFERROR(ABS(F732)/H732,"")</x:f>
        <x:v>0.10840000000000001</x:v>
      </x:c>
      <x:c r="J732" s="2" t="s">
        <x:v>298</x:v>
      </x:c>
      <x:c r="K732" s="8">
        <x:v>0.99</x:v>
      </x:c>
      <x:c r="L732" s="2" t="s">
        <x:v>299</x:v>
      </x:c>
      <x:c r="M732" s="2">
        <x:v>1</x:v>
      </x:c>
      <x:c r="N732" s="2" t="s">
        <x:v>79</x:v>
      </x:c>
      <x:c r="O732" s="5">
        <x:v>62.6</x:v>
      </x:c>
      <x:c r="P732" s="2">
        <x:v>435</x:v>
      </x:c>
      <x:c r="Q732" s="2" t="n">
        <x:f>IF(OR(J732="positive",J732="negative"),1,0)</x:f>
        <x:v>1</x:v>
      </x:c>
    </x:row>
    <x:row r="733" ht="15">
      <x:c r="A733" s="2" t="s">
        <x:v>59</x:v>
      </x:c>
      <x:c r="B733" s="2" t="s">
        <x:v>267</x:v>
      </x:c>
      <x:c r="C733" s="2">
        <x:v>3</x:v>
      </x:c>
      <x:c r="D733" s="2" t="s">
        <x:v>305</x:v>
      </x:c>
      <x:c r="E733" s="2" t="s">
        <x:v>306</x:v>
      </x:c>
      <x:c r="F733" s="7">
        <x:v>-5.7549999999999997E-2</x:v>
      </x:c>
      <x:c r="G733" s="2" t="s">
        <x:v>304</x:v>
      </x:c>
      <x:c r="H733" s="8">
        <x:v>0.3</x:v>
      </x:c>
      <x:c r="I733" s="9" t="n">
        <x:f t="shared" si="11">IFERROR(ABS(F733)/H733,"")</x:f>
        <x:v>0.19183333333333333</x:v>
      </x:c>
      <x:c r="J733" s="2" t="s">
        <x:v>298</x:v>
      </x:c>
      <x:c r="K733" s="8">
        <x:v>0.90590999999999999</x:v>
      </x:c>
      <x:c r="L733" s="2" t="s">
        <x:v>299</x:v>
      </x:c>
      <x:c r="M733" s="2">
        <x:v>1</x:v>
      </x:c>
      <x:c r="N733" s="2" t="s">
        <x:v>79</x:v>
      </x:c>
      <x:c r="O733" s="5">
        <x:v>62.6</x:v>
      </x:c>
      <x:c r="P733" s="2">
        <x:v>435</x:v>
      </x:c>
      <x:c r="Q733" s="2" t="n">
        <x:f>IF(OR(J733="positive",J733="negative"),1,0)</x:f>
        <x:v>1</x:v>
      </x:c>
    </x:row>
    <x:row r="734" ht="15">
      <x:c r="A734" s="2" t="s">
        <x:v>59</x:v>
      </x:c>
      <x:c r="B734" s="2" t="s">
        <x:v>268</x:v>
      </x:c>
      <x:c r="C734" s="2">
        <x:v>4</x:v>
      </x:c>
      <x:c r="D734" s="2" t="s">
        <x:v>295</x:v>
      </x:c>
      <x:c r="E734" s="2" t="s">
        <x:v>296</x:v>
      </x:c>
      <x:c r="F734" s="7">
        <x:v>0.55334000000000005</x:v>
      </x:c>
      <x:c r="G734" s="2" t="s">
        <x:v>297</x:v>
      </x:c>
      <x:c r="H734" s="8">
        <x:v>3.5</x:v>
      </x:c>
      <x:c r="I734" s="9" t="n">
        <x:f t="shared" si="11">IFERROR(ABS(F734)/H734,"")</x:f>
        <x:v>0.15809714285714288</x:v>
      </x:c>
      <x:c r="J734" s="2" t="s">
        <x:v>298</x:v>
      </x:c>
      <x:c r="K734" s="8">
        <x:v>0.97550999999999999</x:v>
      </x:c>
      <x:c r="L734" s="2" t="s">
        <x:v>299</x:v>
      </x:c>
      <x:c r="M734" s="2">
        <x:v>1</x:v>
      </x:c>
      <x:c r="N734" s="2" t="s">
        <x:v>79</x:v>
      </x:c>
      <x:c r="O734" s="5">
        <x:v>58.5</x:v>
      </x:c>
      <x:c r="P734" s="2">
        <x:v>464</x:v>
      </x:c>
      <x:c r="Q734" s="2" t="n">
        <x:f>IF(OR(J734="positive",J734="negative"),1,0)</x:f>
        <x:v>1</x:v>
      </x:c>
    </x:row>
    <x:row r="735" ht="15">
      <x:c r="A735" s="2" t="s">
        <x:v>59</x:v>
      </x:c>
      <x:c r="B735" s="2" t="s">
        <x:v>268</x:v>
      </x:c>
      <x:c r="C735" s="2">
        <x:v>4</x:v>
      </x:c>
      <x:c r="D735" s="2" t="s">
        <x:v>300</x:v>
      </x:c>
      <x:c r="E735" s="2" t="s">
        <x:v>301</x:v>
      </x:c>
      <x:c r="F735" s="7">
        <x:v>5.8939999999999999E-2</x:v>
      </x:c>
      <x:c r="G735" s="2" t="s">
        <x:v>302</x:v>
      </x:c>
      <x:c r="H735" s="8">
        <x:v>0.45</x:v>
      </x:c>
      <x:c r="I735" s="9" t="n">
        <x:f t="shared" si="11">IFERROR(ABS(F735)/H735,"")</x:f>
        <x:v>0.13097777777777778</x:v>
      </x:c>
      <x:c r="J735" s="2" t="s">
        <x:v>298</x:v>
      </x:c>
      <x:c r="K735" s="8">
        <x:v>0.93911999999999995</x:v>
      </x:c>
      <x:c r="L735" s="2" t="s">
        <x:v>299</x:v>
      </x:c>
      <x:c r="M735" s="2">
        <x:v>1</x:v>
      </x:c>
      <x:c r="N735" s="2" t="s">
        <x:v>79</x:v>
      </x:c>
      <x:c r="O735" s="5">
        <x:v>58.5</x:v>
      </x:c>
      <x:c r="P735" s="2">
        <x:v>464</x:v>
      </x:c>
      <x:c r="Q735" s="2" t="n">
        <x:f>IF(OR(J735="positive",J735="negative"),1,0)</x:f>
        <x:v>1</x:v>
      </x:c>
    </x:row>
    <x:row r="736" ht="15">
      <x:c r="A736" s="2" t="s">
        <x:v>59</x:v>
      </x:c>
      <x:c r="B736" s="2" t="s">
        <x:v>268</x:v>
      </x:c>
      <x:c r="C736" s="2">
        <x:v>4</x:v>
      </x:c>
      <x:c r="D736" s="2" t="s">
        <x:v>18</x:v>
      </x:c>
      <x:c r="E736" s="2" t="s">
        <x:v>303</x:v>
      </x:c>
      <x:c r="F736" s="7">
        <x:v>6.6100000000000004E-3</x:v>
      </x:c>
      <x:c r="G736" s="2" t="s">
        <x:v>304</x:v>
      </x:c>
      <x:c r="H736" s="8">
        <x:v>7.4999999999999997E-2</x:v>
      </x:c>
      <x:c r="I736" s="9" t="n">
        <x:f t="shared" si="11">IFERROR(ABS(F736)/H736,"")</x:f>
        <x:v>0.08813333333333334</x:v>
      </x:c>
      <x:c r="J736" s="2" t="s">
        <x:v>298</x:v>
      </x:c>
      <x:c r="K736" s="8">
        <x:v>0.95152999999999999</x:v>
      </x:c>
      <x:c r="L736" s="2" t="s">
        <x:v>299</x:v>
      </x:c>
      <x:c r="M736" s="2">
        <x:v>1</x:v>
      </x:c>
      <x:c r="N736" s="2" t="s">
        <x:v>79</x:v>
      </x:c>
      <x:c r="O736" s="5">
        <x:v>58.5</x:v>
      </x:c>
      <x:c r="P736" s="2">
        <x:v>464</x:v>
      </x:c>
      <x:c r="Q736" s="2" t="n">
        <x:f>IF(OR(J736="positive",J736="negative"),1,0)</x:f>
        <x:v>1</x:v>
      </x:c>
    </x:row>
    <x:row r="737" ht="15">
      <x:c r="A737" s="2" t="s">
        <x:v>59</x:v>
      </x:c>
      <x:c r="B737" s="2" t="s">
        <x:v>268</x:v>
      </x:c>
      <x:c r="C737" s="2">
        <x:v>4</x:v>
      </x:c>
      <x:c r="D737" s="2" t="s">
        <x:v>305</x:v>
      </x:c>
      <x:c r="E737" s="2" t="s">
        <x:v>306</x:v>
      </x:c>
      <x:c r="F737" s="7">
        <x:v>-3.9620000000000002E-2</x:v>
      </x:c>
      <x:c r="G737" s="2" t="s">
        <x:v>304</x:v>
      </x:c>
      <x:c r="H737" s="8">
        <x:v>0.3</x:v>
      </x:c>
      <x:c r="I737" s="9" t="n">
        <x:f t="shared" si="11">IFERROR(ABS(F737)/H737,"")</x:f>
        <x:v>0.1320666666666667</x:v>
      </x:c>
      <x:c r="J737" s="2" t="s">
        <x:v>298</x:v>
      </x:c>
      <x:c r="K737" s="8">
        <x:v>0.87480999999999998</x:v>
      </x:c>
      <x:c r="L737" s="2" t="s">
        <x:v>299</x:v>
      </x:c>
      <x:c r="M737" s="2">
        <x:v>1</x:v>
      </x:c>
      <x:c r="N737" s="2" t="s">
        <x:v>79</x:v>
      </x:c>
      <x:c r="O737" s="5">
        <x:v>58.5</x:v>
      </x:c>
      <x:c r="P737" s="2">
        <x:v>464</x:v>
      </x:c>
      <x:c r="Q737" s="2" t="n">
        <x:f>IF(OR(J737="positive",J737="negative"),1,0)</x:f>
        <x:v>1</x:v>
      </x:c>
    </x:row>
    <x:row r="738" ht="15">
      <x:c r="A738" s="2" t="s">
        <x:v>59</x:v>
      </x:c>
      <x:c r="B738" s="2" t="s">
        <x:v>269</x:v>
      </x:c>
      <x:c r="C738" s="2">
        <x:v>5</x:v>
      </x:c>
      <x:c r="D738" s="2" t="s">
        <x:v>295</x:v>
      </x:c>
      <x:c r="E738" s="2" t="s">
        <x:v>296</x:v>
      </x:c>
      <x:c r="F738" s="7">
        <x:v>0.60768</x:v>
      </x:c>
      <x:c r="G738" s="2" t="s">
        <x:v>297</x:v>
      </x:c>
      <x:c r="H738" s="8">
        <x:v>3.5</x:v>
      </x:c>
      <x:c r="I738" s="9" t="n">
        <x:f t="shared" si="11">IFERROR(ABS(F738)/H738,"")</x:f>
        <x:v>0.17362285714285713</x:v>
      </x:c>
      <x:c r="J738" s="2" t="s">
        <x:v>298</x:v>
      </x:c>
      <x:c r="K738" s="8">
        <x:v>0.96553999999999995</x:v>
      </x:c>
      <x:c r="L738" s="2" t="s">
        <x:v>299</x:v>
      </x:c>
      <x:c r="M738" s="2">
        <x:v>1</x:v>
      </x:c>
      <x:c r="N738" s="2" t="s">
        <x:v>79</x:v>
      </x:c>
      <x:c r="O738" s="5">
        <x:v>56.1</x:v>
      </x:c>
      <x:c r="P738" s="2">
        <x:v>334</x:v>
      </x:c>
      <x:c r="Q738" s="2" t="n">
        <x:f>IF(OR(J738="positive",J738="negative"),1,0)</x:f>
        <x:v>1</x:v>
      </x:c>
    </x:row>
    <x:row r="739" ht="15">
      <x:c r="A739" s="2" t="s">
        <x:v>59</x:v>
      </x:c>
      <x:c r="B739" s="2" t="s">
        <x:v>269</x:v>
      </x:c>
      <x:c r="C739" s="2">
        <x:v>5</x:v>
      </x:c>
      <x:c r="D739" s="2" t="s">
        <x:v>300</x:v>
      </x:c>
      <x:c r="E739" s="2" t="s">
        <x:v>301</x:v>
      </x:c>
      <x:c r="F739" s="7">
        <x:v>2.9069999999999999E-2</x:v>
      </x:c>
      <x:c r="G739" s="2" t="s">
        <x:v>302</x:v>
      </x:c>
      <x:c r="H739" s="8">
        <x:v>0.45</x:v>
      </x:c>
      <x:c r="I739" s="9" t="n">
        <x:f t="shared" si="11">IFERROR(ABS(F739)/H739,"")</x:f>
        <x:v>0.06459999999999999</x:v>
      </x:c>
      <x:c r="J739" s="2" t="s">
        <x:v>298</x:v>
      </x:c>
      <x:c r="K739" s="8">
        <x:v>0.91756000000000004</x:v>
      </x:c>
      <x:c r="L739" s="2" t="s">
        <x:v>299</x:v>
      </x:c>
      <x:c r="M739" s="2">
        <x:v>1</x:v>
      </x:c>
      <x:c r="N739" s="2" t="s">
        <x:v>79</x:v>
      </x:c>
      <x:c r="O739" s="5">
        <x:v>56.1</x:v>
      </x:c>
      <x:c r="P739" s="2">
        <x:v>334</x:v>
      </x:c>
      <x:c r="Q739" s="2" t="n">
        <x:f>IF(OR(J739="positive",J739="negative"),1,0)</x:f>
        <x:v>1</x:v>
      </x:c>
    </x:row>
    <x:row r="740" ht="15">
      <x:c r="A740" s="2" t="s">
        <x:v>59</x:v>
      </x:c>
      <x:c r="B740" s="2" t="s">
        <x:v>269</x:v>
      </x:c>
      <x:c r="C740" s="2">
        <x:v>5</x:v>
      </x:c>
      <x:c r="D740" s="2" t="s">
        <x:v>18</x:v>
      </x:c>
      <x:c r="E740" s="2" t="s">
        <x:v>303</x:v>
      </x:c>
      <x:c r="F740" s="7">
        <x:v>8.1399999999999997E-3</x:v>
      </x:c>
      <x:c r="G740" s="2" t="s">
        <x:v>304</x:v>
      </x:c>
      <x:c r="H740" s="8">
        <x:v>7.4999999999999997E-2</x:v>
      </x:c>
      <x:c r="I740" s="9" t="n">
        <x:f t="shared" si="11">IFERROR(ABS(F740)/H740,"")</x:f>
        <x:v>0.10853333333333333</x:v>
      </x:c>
      <x:c r="J740" s="2" t="s">
        <x:v>298</x:v>
      </x:c>
      <x:c r="K740" s="8">
        <x:v>0.95311999999999997</x:v>
      </x:c>
      <x:c r="L740" s="2" t="s">
        <x:v>299</x:v>
      </x:c>
      <x:c r="M740" s="2">
        <x:v>1</x:v>
      </x:c>
      <x:c r="N740" s="2" t="s">
        <x:v>79</x:v>
      </x:c>
      <x:c r="O740" s="5">
        <x:v>56.1</x:v>
      </x:c>
      <x:c r="P740" s="2">
        <x:v>334</x:v>
      </x:c>
      <x:c r="Q740" s="2" t="n">
        <x:f>IF(OR(J740="positive",J740="negative"),1,0)</x:f>
        <x:v>1</x:v>
      </x:c>
    </x:row>
    <x:row r="741" ht="15">
      <x:c r="A741" s="2" t="s">
        <x:v>59</x:v>
      </x:c>
      <x:c r="B741" s="2" t="s">
        <x:v>269</x:v>
      </x:c>
      <x:c r="C741" s="2">
        <x:v>5</x:v>
      </x:c>
      <x:c r="D741" s="2" t="s">
        <x:v>305</x:v>
      </x:c>
      <x:c r="E741" s="2" t="s">
        <x:v>306</x:v>
      </x:c>
      <x:c r="F741" s="7">
        <x:v>-3.918E-2</x:v>
      </x:c>
      <x:c r="G741" s="2" t="s">
        <x:v>304</x:v>
      </x:c>
      <x:c r="H741" s="8">
        <x:v>0.3</x:v>
      </x:c>
      <x:c r="I741" s="9" t="n">
        <x:f t="shared" si="11">IFERROR(ABS(F741)/H741,"")</x:f>
        <x:v>0.1306</x:v>
      </x:c>
      <x:c r="J741" s="2" t="s">
        <x:v>298</x:v>
      </x:c>
      <x:c r="K741" s="8">
        <x:v>0.96297999999999995</x:v>
      </x:c>
      <x:c r="L741" s="2" t="s">
        <x:v>299</x:v>
      </x:c>
      <x:c r="M741" s="2">
        <x:v>1</x:v>
      </x:c>
      <x:c r="N741" s="2" t="s">
        <x:v>79</x:v>
      </x:c>
      <x:c r="O741" s="5">
        <x:v>56.1</x:v>
      </x:c>
      <x:c r="P741" s="2">
        <x:v>334</x:v>
      </x:c>
      <x:c r="Q741" s="2" t="n">
        <x:f>IF(OR(J741="positive",J741="negative"),1,0)</x:f>
        <x:v>1</x:v>
      </x:c>
    </x:row>
    <x:row r="742" ht="15">
      <x:c r="A742" s="2" t="s">
        <x:v>60</x:v>
      </x:c>
      <x:c r="B742" s="2" t="s">
        <x:v>270</x:v>
      </x:c>
      <x:c r="C742" s="2">
        <x:v>1</x:v>
      </x:c>
      <x:c r="D742" s="2" t="s">
        <x:v>295</x:v>
      </x:c>
      <x:c r="E742" s="2" t="s">
        <x:v>296</x:v>
      </x:c>
      <x:c r="F742" s="7">
        <x:v>0.37322</x:v>
      </x:c>
      <x:c r="G742" s="2" t="s">
        <x:v>297</x:v>
      </x:c>
      <x:c r="H742" s="8">
        <x:v>3.5</x:v>
      </x:c>
      <x:c r="I742" s="9" t="n">
        <x:f t="shared" si="11">IFERROR(ABS(F742)/H742,"")</x:f>
        <x:v>0.10663428571428571</x:v>
      </x:c>
      <x:c r="J742" s="2" t="s">
        <x:v>298</x:v>
      </x:c>
      <x:c r="K742" s="8">
        <x:v>0.94613999999999998</x:v>
      </x:c>
      <x:c r="L742" s="2" t="s">
        <x:v>299</x:v>
      </x:c>
      <x:c r="M742" s="2">
        <x:v>1</x:v>
      </x:c>
      <x:c r="N742" s="2" t="s">
        <x:v>79</x:v>
      </x:c>
      <x:c r="O742" s="5">
        <x:v>66.900000000000006</x:v>
      </x:c>
      <x:c r="P742" s="2">
        <x:v>326</x:v>
      </x:c>
      <x:c r="Q742" s="2" t="n">
        <x:f>IF(OR(J742="positive",J742="negative"),1,0)</x:f>
        <x:v>1</x:v>
      </x:c>
    </x:row>
    <x:row r="743" ht="15">
      <x:c r="A743" s="2" t="s">
        <x:v>60</x:v>
      </x:c>
      <x:c r="B743" s="2" t="s">
        <x:v>270</x:v>
      </x:c>
      <x:c r="C743" s="2">
        <x:v>1</x:v>
      </x:c>
      <x:c r="D743" s="2" t="s">
        <x:v>300</x:v>
      </x:c>
      <x:c r="E743" s="2" t="s">
        <x:v>301</x:v>
      </x:c>
      <x:c r="F743" s="7">
        <x:v>7.7789999999999998E-2</x:v>
      </x:c>
      <x:c r="G743" s="2" t="s">
        <x:v>302</x:v>
      </x:c>
      <x:c r="H743" s="8">
        <x:v>0.45</x:v>
      </x:c>
      <x:c r="I743" s="9" t="n">
        <x:f t="shared" si="11">IFERROR(ABS(F743)/H743,"")</x:f>
        <x:v>0.17286666666666667</x:v>
      </x:c>
      <x:c r="J743" s="2" t="s">
        <x:v>298</x:v>
      </x:c>
      <x:c r="K743" s="8">
        <x:v>0.93542999999999998</x:v>
      </x:c>
      <x:c r="L743" s="2" t="s">
        <x:v>299</x:v>
      </x:c>
      <x:c r="M743" s="2">
        <x:v>1</x:v>
      </x:c>
      <x:c r="N743" s="2" t="s">
        <x:v>79</x:v>
      </x:c>
      <x:c r="O743" s="5">
        <x:v>66.900000000000006</x:v>
      </x:c>
      <x:c r="P743" s="2">
        <x:v>326</x:v>
      </x:c>
      <x:c r="Q743" s="2" t="n">
        <x:f>IF(OR(J743="positive",J743="negative"),1,0)</x:f>
        <x:v>1</x:v>
      </x:c>
    </x:row>
    <x:row r="744" ht="15">
      <x:c r="A744" s="2" t="s">
        <x:v>60</x:v>
      </x:c>
      <x:c r="B744" s="2" t="s">
        <x:v>270</x:v>
      </x:c>
      <x:c r="C744" s="2">
        <x:v>1</x:v>
      </x:c>
      <x:c r="D744" s="2" t="s">
        <x:v>18</x:v>
      </x:c>
      <x:c r="E744" s="2" t="s">
        <x:v>303</x:v>
      </x:c>
      <x:c r="F744" s="7">
        <x:v>2.7300000000000001E-2</x:v>
      </x:c>
      <x:c r="G744" s="2" t="s">
        <x:v>304</x:v>
      </x:c>
      <x:c r="H744" s="8">
        <x:v>7.4999999999999997E-2</x:v>
      </x:c>
      <x:c r="I744" s="9" t="n">
        <x:f t="shared" si="11">IFERROR(ABS(F744)/H744,"")</x:f>
        <x:v>0.36400000000000005</x:v>
      </x:c>
      <x:c r="J744" s="2" t="s">
        <x:v>298</x:v>
      </x:c>
      <x:c r="K744" s="8">
        <x:v>0.92789999999999995</x:v>
      </x:c>
      <x:c r="L744" s="2" t="s">
        <x:v>299</x:v>
      </x:c>
      <x:c r="M744" s="2">
        <x:v>1</x:v>
      </x:c>
      <x:c r="N744" s="2" t="s">
        <x:v>79</x:v>
      </x:c>
      <x:c r="O744" s="5">
        <x:v>66.900000000000006</x:v>
      </x:c>
      <x:c r="P744" s="2">
        <x:v>326</x:v>
      </x:c>
      <x:c r="Q744" s="2" t="n">
        <x:f>IF(OR(J744="positive",J744="negative"),1,0)</x:f>
        <x:v>1</x:v>
      </x:c>
    </x:row>
    <x:row r="745" ht="15">
      <x:c r="A745" s="2" t="s">
        <x:v>60</x:v>
      </x:c>
      <x:c r="B745" s="2" t="s">
        <x:v>270</x:v>
      </x:c>
      <x:c r="C745" s="2">
        <x:v>1</x:v>
      </x:c>
      <x:c r="D745" s="2" t="s">
        <x:v>305</x:v>
      </x:c>
      <x:c r="E745" s="2" t="s">
        <x:v>306</x:v>
      </x:c>
      <x:c r="F745" s="7">
        <x:v>3.1449999999999999E-2</x:v>
      </x:c>
      <x:c r="G745" s="2" t="s">
        <x:v>304</x:v>
      </x:c>
      <x:c r="H745" s="8">
        <x:v>0.3</x:v>
      </x:c>
      <x:c r="I745" s="9" t="n">
        <x:f t="shared" si="11">IFERROR(ABS(F745)/H745,"")</x:f>
        <x:v>0.10483333333333333</x:v>
      </x:c>
      <x:c r="J745" s="2" t="s">
        <x:v>298</x:v>
      </x:c>
      <x:c r="K745" s="8">
        <x:v>0.94659000000000004</x:v>
      </x:c>
      <x:c r="L745" s="2" t="s">
        <x:v>299</x:v>
      </x:c>
      <x:c r="M745" s="2">
        <x:v>1</x:v>
      </x:c>
      <x:c r="N745" s="2" t="s">
        <x:v>79</x:v>
      </x:c>
      <x:c r="O745" s="5">
        <x:v>66.900000000000006</x:v>
      </x:c>
      <x:c r="P745" s="2">
        <x:v>326</x:v>
      </x:c>
      <x:c r="Q745" s="2" t="n">
        <x:f>IF(OR(J745="positive",J745="negative"),1,0)</x:f>
        <x:v>1</x:v>
      </x:c>
    </x:row>
    <x:row r="746" ht="15">
      <x:c r="A746" s="2" t="s">
        <x:v>60</x:v>
      </x:c>
      <x:c r="B746" s="2" t="s">
        <x:v>271</x:v>
      </x:c>
      <x:c r="C746" s="2">
        <x:v>2</x:v>
      </x:c>
      <x:c r="D746" s="2" t="s">
        <x:v>295</x:v>
      </x:c>
      <x:c r="E746" s="2" t="s">
        <x:v>296</x:v>
      </x:c>
      <x:c r="F746" s="7">
        <x:v>0.2213</x:v>
      </x:c>
      <x:c r="G746" s="2" t="s">
        <x:v>297</x:v>
      </x:c>
      <x:c r="H746" s="8">
        <x:v>3.5</x:v>
      </x:c>
      <x:c r="I746" s="9" t="n">
        <x:f t="shared" si="11">IFERROR(ABS(F746)/H746,"")</x:f>
        <x:v>0.06322857142857143</x:v>
      </x:c>
      <x:c r="J746" s="2" t="s">
        <x:v>298</x:v>
      </x:c>
      <x:c r="K746" s="8">
        <x:v>0.97863</x:v>
      </x:c>
      <x:c r="L746" s="2" t="s">
        <x:v>299</x:v>
      </x:c>
      <x:c r="M746" s="2">
        <x:v>1</x:v>
      </x:c>
      <x:c r="N746" s="2" t="s">
        <x:v>79</x:v>
      </x:c>
      <x:c r="O746" s="5">
        <x:v>57.1</x:v>
      </x:c>
      <x:c r="P746" s="2">
        <x:v>291</x:v>
      </x:c>
      <x:c r="Q746" s="2" t="n">
        <x:f>IF(OR(J746="positive",J746="negative"),1,0)</x:f>
        <x:v>1</x:v>
      </x:c>
    </x:row>
    <x:row r="747" ht="15">
      <x:c r="A747" s="2" t="s">
        <x:v>60</x:v>
      </x:c>
      <x:c r="B747" s="2" t="s">
        <x:v>271</x:v>
      </x:c>
      <x:c r="C747" s="2">
        <x:v>2</x:v>
      </x:c>
      <x:c r="D747" s="2" t="s">
        <x:v>300</x:v>
      </x:c>
      <x:c r="E747" s="2" t="s">
        <x:v>301</x:v>
      </x:c>
      <x:c r="F747" s="7">
        <x:v>7.6969999999999997E-2</x:v>
      </x:c>
      <x:c r="G747" s="2" t="s">
        <x:v>302</x:v>
      </x:c>
      <x:c r="H747" s="8">
        <x:v>0.45</x:v>
      </x:c>
      <x:c r="I747" s="9" t="n">
        <x:f t="shared" si="11">IFERROR(ABS(F747)/H747,"")</x:f>
        <x:v>0.17104444444444444</x:v>
      </x:c>
      <x:c r="J747" s="2" t="s">
        <x:v>298</x:v>
      </x:c>
      <x:c r="K747" s="8">
        <x:v>0.93886999999999998</x:v>
      </x:c>
      <x:c r="L747" s="2" t="s">
        <x:v>299</x:v>
      </x:c>
      <x:c r="M747" s="2">
        <x:v>1</x:v>
      </x:c>
      <x:c r="N747" s="2" t="s">
        <x:v>79</x:v>
      </x:c>
      <x:c r="O747" s="5">
        <x:v>57.1</x:v>
      </x:c>
      <x:c r="P747" s="2">
        <x:v>291</x:v>
      </x:c>
      <x:c r="Q747" s="2" t="n">
        <x:f>IF(OR(J747="positive",J747="negative"),1,0)</x:f>
        <x:v>1</x:v>
      </x:c>
    </x:row>
    <x:row r="748" ht="15">
      <x:c r="A748" s="2" t="s">
        <x:v>60</x:v>
      </x:c>
      <x:c r="B748" s="2" t="s">
        <x:v>271</x:v>
      </x:c>
      <x:c r="C748" s="2">
        <x:v>2</x:v>
      </x:c>
      <x:c r="D748" s="2" t="s">
        <x:v>18</x:v>
      </x:c>
      <x:c r="E748" s="2" t="s">
        <x:v>303</x:v>
      </x:c>
      <x:c r="F748" s="7">
        <x:v>2.3109999999999999E-2</x:v>
      </x:c>
      <x:c r="G748" s="2" t="s">
        <x:v>304</x:v>
      </x:c>
      <x:c r="H748" s="8">
        <x:v>7.4999999999999997E-2</x:v>
      </x:c>
      <x:c r="I748" s="9" t="n">
        <x:f t="shared" si="11">IFERROR(ABS(F748)/H748,"")</x:f>
        <x:v>0.3081333333333333</x:v>
      </x:c>
      <x:c r="J748" s="2" t="s">
        <x:v>298</x:v>
      </x:c>
      <x:c r="K748" s="8">
        <x:v>0.94935000000000003</x:v>
      </x:c>
      <x:c r="L748" s="2" t="s">
        <x:v>299</x:v>
      </x:c>
      <x:c r="M748" s="2">
        <x:v>1</x:v>
      </x:c>
      <x:c r="N748" s="2" t="s">
        <x:v>79</x:v>
      </x:c>
      <x:c r="O748" s="5">
        <x:v>57.1</x:v>
      </x:c>
      <x:c r="P748" s="2">
        <x:v>291</x:v>
      </x:c>
      <x:c r="Q748" s="2" t="n">
        <x:f>IF(OR(J748="positive",J748="negative"),1,0)</x:f>
        <x:v>1</x:v>
      </x:c>
    </x:row>
    <x:row r="749" ht="15">
      <x:c r="A749" s="2" t="s">
        <x:v>60</x:v>
      </x:c>
      <x:c r="B749" s="2" t="s">
        <x:v>271</x:v>
      </x:c>
      <x:c r="C749" s="2">
        <x:v>2</x:v>
      </x:c>
      <x:c r="D749" s="2" t="s">
        <x:v>305</x:v>
      </x:c>
      <x:c r="E749" s="2" t="s">
        <x:v>306</x:v>
      </x:c>
      <x:c r="F749" s="7">
        <x:v>-5.7299999999999999E-3</x:v>
      </x:c>
      <x:c r="G749" s="2" t="s">
        <x:v>304</x:v>
      </x:c>
      <x:c r="H749" s="8">
        <x:v>0.3</x:v>
      </x:c>
      <x:c r="I749" s="9" t="n">
        <x:f t="shared" si="11">IFERROR(ABS(F749)/H749,"")</x:f>
        <x:v>0.0191</x:v>
      </x:c>
      <x:c r="J749" s="2" t="s">
        <x:v>307</x:v>
      </x:c>
      <x:c r="K749" s="8">
        <x:v>0.59509000000000001</x:v>
      </x:c>
      <x:c r="L749" s="2" t="s">
        <x:v>313</x:v>
      </x:c>
      <x:c r="M749" s="2">
        <x:v>1</x:v>
      </x:c>
      <x:c r="N749" s="2" t="s">
        <x:v>79</x:v>
      </x:c>
      <x:c r="O749" s="5">
        <x:v>57.1</x:v>
      </x:c>
      <x:c r="P749" s="2">
        <x:v>291</x:v>
      </x:c>
      <x:c r="Q749" s="2" t="n">
        <x:f>IF(OR(J749="positive",J749="negative"),1,0)</x:f>
        <x:v>0</x:v>
      </x:c>
    </x:row>
    <x:row r="750" ht="15">
      <x:c r="A750" s="2" t="s">
        <x:v>60</x:v>
      </x:c>
      <x:c r="B750" s="2" t="s">
        <x:v>272</x:v>
      </x:c>
      <x:c r="C750" s="2">
        <x:v>3</x:v>
      </x:c>
      <x:c r="D750" s="2" t="s">
        <x:v>295</x:v>
      </x:c>
      <x:c r="E750" s="2" t="s">
        <x:v>296</x:v>
      </x:c>
      <x:c r="F750" s="7">
        <x:v>0.32349</x:v>
      </x:c>
      <x:c r="G750" s="2" t="s">
        <x:v>297</x:v>
      </x:c>
      <x:c r="H750" s="8">
        <x:v>3.5</x:v>
      </x:c>
      <x:c r="I750" s="9" t="n">
        <x:f t="shared" si="11">IFERROR(ABS(F750)/H750,"")</x:f>
        <x:v>0.09242571428571429</x:v>
      </x:c>
      <x:c r="J750" s="2" t="s">
        <x:v>298</x:v>
      </x:c>
      <x:c r="K750" s="8">
        <x:v>0.96582000000000001</x:v>
      </x:c>
      <x:c r="L750" s="2" t="s">
        <x:v>299</x:v>
      </x:c>
      <x:c r="M750" s="2">
        <x:v>1</x:v>
      </x:c>
      <x:c r="N750" s="2" t="s">
        <x:v>79</x:v>
      </x:c>
      <x:c r="O750" s="5">
        <x:v>63.1</x:v>
      </x:c>
      <x:c r="P750" s="2">
        <x:v>452</x:v>
      </x:c>
      <x:c r="Q750" s="2" t="n">
        <x:f>IF(OR(J750="positive",J750="negative"),1,0)</x:f>
        <x:v>1</x:v>
      </x:c>
    </x:row>
    <x:row r="751" ht="15">
      <x:c r="A751" s="2" t="s">
        <x:v>60</x:v>
      </x:c>
      <x:c r="B751" s="2" t="s">
        <x:v>272</x:v>
      </x:c>
      <x:c r="C751" s="2">
        <x:v>3</x:v>
      </x:c>
      <x:c r="D751" s="2" t="s">
        <x:v>300</x:v>
      </x:c>
      <x:c r="E751" s="2" t="s">
        <x:v>301</x:v>
      </x:c>
      <x:c r="F751" s="7">
        <x:v>7.1190000000000003E-2</x:v>
      </x:c>
      <x:c r="G751" s="2" t="s">
        <x:v>302</x:v>
      </x:c>
      <x:c r="H751" s="8">
        <x:v>0.45</x:v>
      </x:c>
      <x:c r="I751" s="9" t="n">
        <x:f t="shared" si="11">IFERROR(ABS(F751)/H751,"")</x:f>
        <x:v>0.1582</x:v>
      </x:c>
      <x:c r="J751" s="2" t="s">
        <x:v>298</x:v>
      </x:c>
      <x:c r="K751" s="8">
        <x:v>0.98801000000000005</x:v>
      </x:c>
      <x:c r="L751" s="2" t="s">
        <x:v>299</x:v>
      </x:c>
      <x:c r="M751" s="2">
        <x:v>1</x:v>
      </x:c>
      <x:c r="N751" s="2" t="s">
        <x:v>79</x:v>
      </x:c>
      <x:c r="O751" s="5">
        <x:v>63.1</x:v>
      </x:c>
      <x:c r="P751" s="2">
        <x:v>452</x:v>
      </x:c>
      <x:c r="Q751" s="2" t="n">
        <x:f>IF(OR(J751="positive",J751="negative"),1,0)</x:f>
        <x:v>1</x:v>
      </x:c>
    </x:row>
    <x:row r="752" ht="15">
      <x:c r="A752" s="2" t="s">
        <x:v>60</x:v>
      </x:c>
      <x:c r="B752" s="2" t="s">
        <x:v>272</x:v>
      </x:c>
      <x:c r="C752" s="2">
        <x:v>3</x:v>
      </x:c>
      <x:c r="D752" s="2" t="s">
        <x:v>18</x:v>
      </x:c>
      <x:c r="E752" s="2" t="s">
        <x:v>303</x:v>
      </x:c>
      <x:c r="F752" s="7">
        <x:v>1.9179999999999999E-2</x:v>
      </x:c>
      <x:c r="G752" s="2" t="s">
        <x:v>304</x:v>
      </x:c>
      <x:c r="H752" s="8">
        <x:v>7.4999999999999997E-2</x:v>
      </x:c>
      <x:c r="I752" s="9" t="n">
        <x:f t="shared" si="11">IFERROR(ABS(F752)/H752,"")</x:f>
        <x:v>0.2557333333333333</x:v>
      </x:c>
      <x:c r="J752" s="2" t="s">
        <x:v>298</x:v>
      </x:c>
      <x:c r="K752" s="8">
        <x:v>0.92057999999999995</x:v>
      </x:c>
      <x:c r="L752" s="2" t="s">
        <x:v>299</x:v>
      </x:c>
      <x:c r="M752" s="2">
        <x:v>1</x:v>
      </x:c>
      <x:c r="N752" s="2" t="s">
        <x:v>79</x:v>
      </x:c>
      <x:c r="O752" s="5">
        <x:v>63.1</x:v>
      </x:c>
      <x:c r="P752" s="2">
        <x:v>452</x:v>
      </x:c>
      <x:c r="Q752" s="2" t="n">
        <x:f>IF(OR(J752="positive",J752="negative"),1,0)</x:f>
        <x:v>1</x:v>
      </x:c>
    </x:row>
    <x:row r="753" ht="15">
      <x:c r="A753" s="2" t="s">
        <x:v>60</x:v>
      </x:c>
      <x:c r="B753" s="2" t="s">
        <x:v>272</x:v>
      </x:c>
      <x:c r="C753" s="2">
        <x:v>3</x:v>
      </x:c>
      <x:c r="D753" s="2" t="s">
        <x:v>305</x:v>
      </x:c>
      <x:c r="E753" s="2" t="s">
        <x:v>306</x:v>
      </x:c>
      <x:c r="F753" s="7">
        <x:v>-4.1200000000000004E-3</x:v>
      </x:c>
      <x:c r="G753" s="2" t="s">
        <x:v>304</x:v>
      </x:c>
      <x:c r="H753" s="8">
        <x:v>0.3</x:v>
      </x:c>
      <x:c r="I753" s="9" t="n">
        <x:f t="shared" si="11">IFERROR(ABS(F753)/H753,"")</x:f>
        <x:v>0.013733333333333335</x:v>
      </x:c>
      <x:c r="J753" s="2" t="s">
        <x:v>298</x:v>
      </x:c>
      <x:c r="K753" s="8">
        <x:v>0.95433999999999997</x:v>
      </x:c>
      <x:c r="L753" s="2" t="s">
        <x:v>299</x:v>
      </x:c>
      <x:c r="M753" s="2">
        <x:v>1</x:v>
      </x:c>
      <x:c r="N753" s="2" t="s">
        <x:v>79</x:v>
      </x:c>
      <x:c r="O753" s="5">
        <x:v>63.1</x:v>
      </x:c>
      <x:c r="P753" s="2">
        <x:v>452</x:v>
      </x:c>
      <x:c r="Q753" s="2" t="n">
        <x:f>IF(OR(J753="positive",J753="negative"),1,0)</x:f>
        <x:v>1</x:v>
      </x:c>
    </x:row>
    <x:row r="754" ht="15">
      <x:c r="A754" s="2" t="s">
        <x:v>60</x:v>
      </x:c>
      <x:c r="B754" s="2" t="s">
        <x:v>273</x:v>
      </x:c>
      <x:c r="C754" s="2">
        <x:v>4</x:v>
      </x:c>
      <x:c r="D754" s="2" t="s">
        <x:v>295</x:v>
      </x:c>
      <x:c r="E754" s="2" t="s">
        <x:v>296</x:v>
      </x:c>
      <x:c r="F754" s="7">
        <x:v>0.10954999999999999</x:v>
      </x:c>
      <x:c r="G754" s="2" t="s">
        <x:v>297</x:v>
      </x:c>
      <x:c r="H754" s="8">
        <x:v>3.5</x:v>
      </x:c>
      <x:c r="I754" s="9" t="n">
        <x:f t="shared" si="11">IFERROR(ABS(F754)/H754,"")</x:f>
        <x:v>0.0313</x:v>
      </x:c>
      <x:c r="J754" s="2" t="s">
        <x:v>298</x:v>
      </x:c>
      <x:c r="K754" s="8">
        <x:v>0.96457999999999999</x:v>
      </x:c>
      <x:c r="L754" s="2" t="s">
        <x:v>299</x:v>
      </x:c>
      <x:c r="M754" s="2">
        <x:v>1</x:v>
      </x:c>
      <x:c r="N754" s="2" t="s">
        <x:v>79</x:v>
      </x:c>
      <x:c r="O754" s="5">
        <x:v>57.3</x:v>
      </x:c>
      <x:c r="P754" s="2">
        <x:v>496</x:v>
      </x:c>
      <x:c r="Q754" s="2" t="n">
        <x:f>IF(OR(J754="positive",J754="negative"),1,0)</x:f>
        <x:v>1</x:v>
      </x:c>
    </x:row>
    <x:row r="755" ht="15">
      <x:c r="A755" s="2" t="s">
        <x:v>60</x:v>
      </x:c>
      <x:c r="B755" s="2" t="s">
        <x:v>273</x:v>
      </x:c>
      <x:c r="C755" s="2">
        <x:v>4</x:v>
      </x:c>
      <x:c r="D755" s="2" t="s">
        <x:v>300</x:v>
      </x:c>
      <x:c r="E755" s="2" t="s">
        <x:v>301</x:v>
      </x:c>
      <x:c r="F755" s="7">
        <x:v>8.14E-2</x:v>
      </x:c>
      <x:c r="G755" s="2" t="s">
        <x:v>302</x:v>
      </x:c>
      <x:c r="H755" s="8">
        <x:v>0.45</x:v>
      </x:c>
      <x:c r="I755" s="9" t="n">
        <x:f t="shared" si="11">IFERROR(ABS(F755)/H755,"")</x:f>
        <x:v>0.18088888888888888</x:v>
      </x:c>
      <x:c r="J755" s="2" t="s">
        <x:v>298</x:v>
      </x:c>
      <x:c r="K755" s="8">
        <x:v>0.90908</x:v>
      </x:c>
      <x:c r="L755" s="2" t="s">
        <x:v>299</x:v>
      </x:c>
      <x:c r="M755" s="2">
        <x:v>1</x:v>
      </x:c>
      <x:c r="N755" s="2" t="s">
        <x:v>79</x:v>
      </x:c>
      <x:c r="O755" s="5">
        <x:v>57.3</x:v>
      </x:c>
      <x:c r="P755" s="2">
        <x:v>496</x:v>
      </x:c>
      <x:c r="Q755" s="2" t="n">
        <x:f>IF(OR(J755="positive",J755="negative"),1,0)</x:f>
        <x:v>1</x:v>
      </x:c>
    </x:row>
    <x:row r="756" ht="15">
      <x:c r="A756" s="2" t="s">
        <x:v>60</x:v>
      </x:c>
      <x:c r="B756" s="2" t="s">
        <x:v>273</x:v>
      </x:c>
      <x:c r="C756" s="2">
        <x:v>4</x:v>
      </x:c>
      <x:c r="D756" s="2" t="s">
        <x:v>18</x:v>
      </x:c>
      <x:c r="E756" s="2" t="s">
        <x:v>303</x:v>
      </x:c>
      <x:c r="F756" s="7">
        <x:v>3.2489999999999998E-2</x:v>
      </x:c>
      <x:c r="G756" s="2" t="s">
        <x:v>304</x:v>
      </x:c>
      <x:c r="H756" s="8">
        <x:v>7.4999999999999997E-2</x:v>
      </x:c>
      <x:c r="I756" s="9" t="n">
        <x:f t="shared" si="11">IFERROR(ABS(F756)/H756,"")</x:f>
        <x:v>0.4332</x:v>
      </x:c>
      <x:c r="J756" s="2" t="s">
        <x:v>298</x:v>
      </x:c>
      <x:c r="K756" s="8">
        <x:v>0.91000999999999999</x:v>
      </x:c>
      <x:c r="L756" s="2" t="s">
        <x:v>299</x:v>
      </x:c>
      <x:c r="M756" s="2">
        <x:v>1</x:v>
      </x:c>
      <x:c r="N756" s="2" t="s">
        <x:v>79</x:v>
      </x:c>
      <x:c r="O756" s="5">
        <x:v>57.3</x:v>
      </x:c>
      <x:c r="P756" s="2">
        <x:v>496</x:v>
      </x:c>
      <x:c r="Q756" s="2" t="n">
        <x:f>IF(OR(J756="positive",J756="negative"),1,0)</x:f>
        <x:v>1</x:v>
      </x:c>
    </x:row>
    <x:row r="757" ht="15">
      <x:c r="A757" s="2" t="s">
        <x:v>60</x:v>
      </x:c>
      <x:c r="B757" s="2" t="s">
        <x:v>273</x:v>
      </x:c>
      <x:c r="C757" s="2">
        <x:v>4</x:v>
      </x:c>
      <x:c r="D757" s="2" t="s">
        <x:v>305</x:v>
      </x:c>
      <x:c r="E757" s="2" t="s">
        <x:v>306</x:v>
      </x:c>
      <x:c r="F757" s="7">
        <x:v>7.3800000000000003E-3</x:v>
      </x:c>
      <x:c r="G757" s="2" t="s">
        <x:v>304</x:v>
      </x:c>
      <x:c r="H757" s="8">
        <x:v>0.3</x:v>
      </x:c>
      <x:c r="I757" s="9" t="n">
        <x:f t="shared" si="11">IFERROR(ABS(F757)/H757,"")</x:f>
        <x:v>0.0246</x:v>
      </x:c>
      <x:c r="J757" s="2" t="s">
        <x:v>298</x:v>
      </x:c>
      <x:c r="K757" s="8">
        <x:v>0.90993000000000002</x:v>
      </x:c>
      <x:c r="L757" s="2" t="s">
        <x:v>299</x:v>
      </x:c>
      <x:c r="M757" s="2">
        <x:v>1</x:v>
      </x:c>
      <x:c r="N757" s="2" t="s">
        <x:v>79</x:v>
      </x:c>
      <x:c r="O757" s="5">
        <x:v>57.3</x:v>
      </x:c>
      <x:c r="P757" s="2">
        <x:v>496</x:v>
      </x:c>
      <x:c r="Q757" s="2" t="n">
        <x:f>IF(OR(J757="positive",J757="negative"),1,0)</x:f>
        <x:v>1</x:v>
      </x:c>
    </x:row>
    <x:row r="758" ht="15">
      <x:c r="A758" s="2" t="s">
        <x:v>60</x:v>
      </x:c>
      <x:c r="B758" s="2" t="s">
        <x:v>274</x:v>
      </x:c>
      <x:c r="C758" s="2">
        <x:v>5</x:v>
      </x:c>
      <x:c r="D758" s="2" t="s">
        <x:v>295</x:v>
      </x:c>
      <x:c r="E758" s="2" t="s">
        <x:v>296</x:v>
      </x:c>
      <x:c r="F758" s="7">
        <x:v>0.54723999999999995</x:v>
      </x:c>
      <x:c r="G758" s="2" t="s">
        <x:v>297</x:v>
      </x:c>
      <x:c r="H758" s="8">
        <x:v>3.5</x:v>
      </x:c>
      <x:c r="I758" s="9" t="n">
        <x:f t="shared" si="11">IFERROR(ABS(F758)/H758,"")</x:f>
        <x:v>0.1563542857142857</x:v>
      </x:c>
      <x:c r="J758" s="2" t="s">
        <x:v>298</x:v>
      </x:c>
      <x:c r="K758" s="8">
        <x:v>0.95430000000000004</x:v>
      </x:c>
      <x:c r="L758" s="2" t="s">
        <x:v>299</x:v>
      </x:c>
      <x:c r="M758" s="2">
        <x:v>1</x:v>
      </x:c>
      <x:c r="N758" s="2" t="s">
        <x:v>79</x:v>
      </x:c>
      <x:c r="O758" s="5">
        <x:v>60.5</x:v>
      </x:c>
      <x:c r="P758" s="2">
        <x:v>482</x:v>
      </x:c>
      <x:c r="Q758" s="2" t="n">
        <x:f>IF(OR(J758="positive",J758="negative"),1,0)</x:f>
        <x:v>1</x:v>
      </x:c>
    </x:row>
    <x:row r="759" ht="15">
      <x:c r="A759" s="2" t="s">
        <x:v>60</x:v>
      </x:c>
      <x:c r="B759" s="2" t="s">
        <x:v>274</x:v>
      </x:c>
      <x:c r="C759" s="2">
        <x:v>5</x:v>
      </x:c>
      <x:c r="D759" s="2" t="s">
        <x:v>300</x:v>
      </x:c>
      <x:c r="E759" s="2" t="s">
        <x:v>301</x:v>
      </x:c>
      <x:c r="F759" s="7">
        <x:v>5.4420000000000003E-2</x:v>
      </x:c>
      <x:c r="G759" s="2" t="s">
        <x:v>302</x:v>
      </x:c>
      <x:c r="H759" s="8">
        <x:v>0.45</x:v>
      </x:c>
      <x:c r="I759" s="9" t="n">
        <x:f t="shared" si="11">IFERROR(ABS(F759)/H759,"")</x:f>
        <x:v>0.12093333333333334</x:v>
      </x:c>
      <x:c r="J759" s="2" t="s">
        <x:v>298</x:v>
      </x:c>
      <x:c r="K759" s="8">
        <x:v>0.93815000000000004</x:v>
      </x:c>
      <x:c r="L759" s="2" t="s">
        <x:v>299</x:v>
      </x:c>
      <x:c r="M759" s="2">
        <x:v>1</x:v>
      </x:c>
      <x:c r="N759" s="2" t="s">
        <x:v>79</x:v>
      </x:c>
      <x:c r="O759" s="5">
        <x:v>60.5</x:v>
      </x:c>
      <x:c r="P759" s="2">
        <x:v>482</x:v>
      </x:c>
      <x:c r="Q759" s="2" t="n">
        <x:f>IF(OR(J759="positive",J759="negative"),1,0)</x:f>
        <x:v>1</x:v>
      </x:c>
    </x:row>
    <x:row r="760" ht="15">
      <x:c r="A760" s="2" t="s">
        <x:v>60</x:v>
      </x:c>
      <x:c r="B760" s="2" t="s">
        <x:v>274</x:v>
      </x:c>
      <x:c r="C760" s="2">
        <x:v>5</x:v>
      </x:c>
      <x:c r="D760" s="2" t="s">
        <x:v>18</x:v>
      </x:c>
      <x:c r="E760" s="2" t="s">
        <x:v>303</x:v>
      </x:c>
      <x:c r="F760" s="7">
        <x:v>2.384E-2</x:v>
      </x:c>
      <x:c r="G760" s="2" t="s">
        <x:v>304</x:v>
      </x:c>
      <x:c r="H760" s="8">
        <x:v>7.4999999999999997E-2</x:v>
      </x:c>
      <x:c r="I760" s="9" t="n">
        <x:f t="shared" si="11">IFERROR(ABS(F760)/H760,"")</x:f>
        <x:v>0.3178666666666667</x:v>
      </x:c>
      <x:c r="J760" s="2" t="s">
        <x:v>298</x:v>
      </x:c>
      <x:c r="K760" s="8">
        <x:v>0.95760999999999996</x:v>
      </x:c>
      <x:c r="L760" s="2" t="s">
        <x:v>299</x:v>
      </x:c>
      <x:c r="M760" s="2">
        <x:v>1</x:v>
      </x:c>
      <x:c r="N760" s="2" t="s">
        <x:v>79</x:v>
      </x:c>
      <x:c r="O760" s="5">
        <x:v>60.5</x:v>
      </x:c>
      <x:c r="P760" s="2">
        <x:v>482</x:v>
      </x:c>
      <x:c r="Q760" s="2" t="n">
        <x:f>IF(OR(J760="positive",J760="negative"),1,0)</x:f>
        <x:v>1</x:v>
      </x:c>
    </x:row>
    <x:row r="761" ht="15">
      <x:c r="A761" s="2" t="s">
        <x:v>60</x:v>
      </x:c>
      <x:c r="B761" s="2" t="s">
        <x:v>274</x:v>
      </x:c>
      <x:c r="C761" s="2">
        <x:v>5</x:v>
      </x:c>
      <x:c r="D761" s="2" t="s">
        <x:v>305</x:v>
      </x:c>
      <x:c r="E761" s="2" t="s">
        <x:v>306</x:v>
      </x:c>
      <x:c r="F761" s="7">
        <x:v>1.273E-2</x:v>
      </x:c>
      <x:c r="G761" s="2" t="s">
        <x:v>304</x:v>
      </x:c>
      <x:c r="H761" s="8">
        <x:v>0.3</x:v>
      </x:c>
      <x:c r="I761" s="9" t="n">
        <x:f t="shared" si="11">IFERROR(ABS(F761)/H761,"")</x:f>
        <x:v>0.04243333333333334</x:v>
      </x:c>
      <x:c r="J761" s="2" t="s">
        <x:v>298</x:v>
      </x:c>
      <x:c r="K761" s="8">
        <x:v>0.98046</x:v>
      </x:c>
      <x:c r="L761" s="2" t="s">
        <x:v>299</x:v>
      </x:c>
      <x:c r="M761" s="2">
        <x:v>1</x:v>
      </x:c>
      <x:c r="N761" s="2" t="s">
        <x:v>79</x:v>
      </x:c>
      <x:c r="O761" s="5">
        <x:v>60.5</x:v>
      </x:c>
      <x:c r="P761" s="2">
        <x:v>482</x:v>
      </x:c>
      <x:c r="Q761" s="2" t="n">
        <x:f>IF(OR(J761="positive",J761="negative"),1,0)</x:f>
        <x:v>1</x:v>
      </x:c>
    </x:row>
    <x:row r="762" ht="15">
      <x:c r="A762" s="2" t="s">
        <x:v>61</x:v>
      </x:c>
      <x:c r="B762" s="2" t="s">
        <x:v>275</x:v>
      </x:c>
      <x:c r="C762" s="2">
        <x:v>1</x:v>
      </x:c>
      <x:c r="D762" s="2" t="s">
        <x:v>295</x:v>
      </x:c>
      <x:c r="E762" s="2" t="s">
        <x:v>296</x:v>
      </x:c>
      <x:c r="F762" s="7">
        <x:v>0.32734000000000002</x:v>
      </x:c>
      <x:c r="G762" s="2" t="s">
        <x:v>297</x:v>
      </x:c>
      <x:c r="H762" s="8">
        <x:v>3.5</x:v>
      </x:c>
      <x:c r="I762" s="9" t="n">
        <x:f t="shared" si="11">IFERROR(ABS(F762)/H762,"")</x:f>
        <x:v>0.0935257142857143</x:v>
      </x:c>
      <x:c r="J762" s="2" t="s">
        <x:v>298</x:v>
      </x:c>
      <x:c r="K762" s="8">
        <x:v>0.91654000000000002</x:v>
      </x:c>
      <x:c r="L762" s="2" t="s">
        <x:v>299</x:v>
      </x:c>
      <x:c r="M762" s="2">
        <x:v>1</x:v>
      </x:c>
      <x:c r="N762" s="2" t="s">
        <x:v>79</x:v>
      </x:c>
      <x:c r="O762" s="5">
        <x:v>59.8</x:v>
      </x:c>
      <x:c r="P762" s="2">
        <x:v>395</x:v>
      </x:c>
      <x:c r="Q762" s="2" t="n">
        <x:f>IF(OR(J762="positive",J762="negative"),1,0)</x:f>
        <x:v>1</x:v>
      </x:c>
    </x:row>
    <x:row r="763" ht="15">
      <x:c r="A763" s="2" t="s">
        <x:v>61</x:v>
      </x:c>
      <x:c r="B763" s="2" t="s">
        <x:v>275</x:v>
      </x:c>
      <x:c r="C763" s="2">
        <x:v>1</x:v>
      </x:c>
      <x:c r="D763" s="2" t="s">
        <x:v>300</x:v>
      </x:c>
      <x:c r="E763" s="2" t="s">
        <x:v>301</x:v>
      </x:c>
      <x:c r="F763" s="7">
        <x:v>0.12479</x:v>
      </x:c>
      <x:c r="G763" s="2" t="s">
        <x:v>302</x:v>
      </x:c>
      <x:c r="H763" s="8">
        <x:v>0.45</x:v>
      </x:c>
      <x:c r="I763" s="9" t="n">
        <x:f t="shared" si="11">IFERROR(ABS(F763)/H763,"")</x:f>
        <x:v>0.2773111111111111</x:v>
      </x:c>
      <x:c r="J763" s="2" t="s">
        <x:v>298</x:v>
      </x:c>
      <x:c r="K763" s="8">
        <x:v>0.97041999999999995</x:v>
      </x:c>
      <x:c r="L763" s="2" t="s">
        <x:v>299</x:v>
      </x:c>
      <x:c r="M763" s="2">
        <x:v>1</x:v>
      </x:c>
      <x:c r="N763" s="2" t="s">
        <x:v>79</x:v>
      </x:c>
      <x:c r="O763" s="5">
        <x:v>59.8</x:v>
      </x:c>
      <x:c r="P763" s="2">
        <x:v>395</x:v>
      </x:c>
      <x:c r="Q763" s="2" t="n">
        <x:f>IF(OR(J763="positive",J763="negative"),1,0)</x:f>
        <x:v>1</x:v>
      </x:c>
    </x:row>
    <x:row r="764" ht="15">
      <x:c r="A764" s="2" t="s">
        <x:v>61</x:v>
      </x:c>
      <x:c r="B764" s="2" t="s">
        <x:v>275</x:v>
      </x:c>
      <x:c r="C764" s="2">
        <x:v>1</x:v>
      </x:c>
      <x:c r="D764" s="2" t="s">
        <x:v>18</x:v>
      </x:c>
      <x:c r="E764" s="2" t="s">
        <x:v>303</x:v>
      </x:c>
      <x:c r="F764" s="7">
        <x:v>1.8489999999999999E-2</x:v>
      </x:c>
      <x:c r="G764" s="2" t="s">
        <x:v>304</x:v>
      </x:c>
      <x:c r="H764" s="8">
        <x:v>7.4999999999999997E-2</x:v>
      </x:c>
      <x:c r="I764" s="9" t="n">
        <x:f t="shared" si="11">IFERROR(ABS(F764)/H764,"")</x:f>
        <x:v>0.24653333333333333</x:v>
      </x:c>
      <x:c r="J764" s="2" t="s">
        <x:v>298</x:v>
      </x:c>
      <x:c r="K764" s="8">
        <x:v>0.93479999999999996</x:v>
      </x:c>
      <x:c r="L764" s="2" t="s">
        <x:v>299</x:v>
      </x:c>
      <x:c r="M764" s="2">
        <x:v>1</x:v>
      </x:c>
      <x:c r="N764" s="2" t="s">
        <x:v>79</x:v>
      </x:c>
      <x:c r="O764" s="5">
        <x:v>59.8</x:v>
      </x:c>
      <x:c r="P764" s="2">
        <x:v>395</x:v>
      </x:c>
      <x:c r="Q764" s="2" t="n">
        <x:f>IF(OR(J764="positive",J764="negative"),1,0)</x:f>
        <x:v>1</x:v>
      </x:c>
    </x:row>
    <x:row r="765" ht="15">
      <x:c r="A765" s="2" t="s">
        <x:v>61</x:v>
      </x:c>
      <x:c r="B765" s="2" t="s">
        <x:v>275</x:v>
      </x:c>
      <x:c r="C765" s="2">
        <x:v>1</x:v>
      </x:c>
      <x:c r="D765" s="2" t="s">
        <x:v>305</x:v>
      </x:c>
      <x:c r="E765" s="2" t="s">
        <x:v>306</x:v>
      </x:c>
      <x:c r="F765" s="7">
        <x:v>-2.759E-2</x:v>
      </x:c>
      <x:c r="G765" s="2" t="s">
        <x:v>304</x:v>
      </x:c>
      <x:c r="H765" s="8">
        <x:v>0.3</x:v>
      </x:c>
      <x:c r="I765" s="9" t="n">
        <x:f t="shared" si="11">IFERROR(ABS(F765)/H765,"")</x:f>
        <x:v>0.09196666666666667</x:v>
      </x:c>
      <x:c r="J765" s="2" t="s">
        <x:v>298</x:v>
      </x:c>
      <x:c r="K765" s="8">
        <x:v>0.94288000000000005</x:v>
      </x:c>
      <x:c r="L765" s="2" t="s">
        <x:v>299</x:v>
      </x:c>
      <x:c r="M765" s="2">
        <x:v>1</x:v>
      </x:c>
      <x:c r="N765" s="2" t="s">
        <x:v>79</x:v>
      </x:c>
      <x:c r="O765" s="5">
        <x:v>59.8</x:v>
      </x:c>
      <x:c r="P765" s="2">
        <x:v>395</x:v>
      </x:c>
      <x:c r="Q765" s="2" t="n">
        <x:f>IF(OR(J765="positive",J765="negative"),1,0)</x:f>
        <x:v>1</x:v>
      </x:c>
    </x:row>
    <x:row r="766" ht="15">
      <x:c r="A766" s="2" t="s">
        <x:v>61</x:v>
      </x:c>
      <x:c r="B766" s="2" t="s">
        <x:v>276</x:v>
      </x:c>
      <x:c r="C766" s="2">
        <x:v>2</x:v>
      </x:c>
      <x:c r="D766" s="2" t="s">
        <x:v>295</x:v>
      </x:c>
      <x:c r="E766" s="2" t="s">
        <x:v>296</x:v>
      </x:c>
      <x:c r="F766" s="7">
        <x:v>0.73631000000000002</x:v>
      </x:c>
      <x:c r="G766" s="2" t="s">
        <x:v>297</x:v>
      </x:c>
      <x:c r="H766" s="8">
        <x:v>3.5</x:v>
      </x:c>
      <x:c r="I766" s="9" t="n">
        <x:f t="shared" si="11">IFERROR(ABS(F766)/H766,"")</x:f>
        <x:v>0.2103742857142857</x:v>
      </x:c>
      <x:c r="J766" s="2" t="s">
        <x:v>298</x:v>
      </x:c>
      <x:c r="K766" s="8">
        <x:v>0.93635000000000002</x:v>
      </x:c>
      <x:c r="L766" s="2" t="s">
        <x:v>299</x:v>
      </x:c>
      <x:c r="M766" s="2">
        <x:v>1</x:v>
      </x:c>
      <x:c r="N766" s="2" t="s">
        <x:v>79</x:v>
      </x:c>
      <x:c r="O766" s="5">
        <x:v>63.1</x:v>
      </x:c>
      <x:c r="P766" s="2">
        <x:v>435</x:v>
      </x:c>
      <x:c r="Q766" s="2" t="n">
        <x:f>IF(OR(J766="positive",J766="negative"),1,0)</x:f>
        <x:v>1</x:v>
      </x:c>
    </x:row>
    <x:row r="767" ht="15">
      <x:c r="A767" s="2" t="s">
        <x:v>61</x:v>
      </x:c>
      <x:c r="B767" s="2" t="s">
        <x:v>276</x:v>
      </x:c>
      <x:c r="C767" s="2">
        <x:v>2</x:v>
      </x:c>
      <x:c r="D767" s="2" t="s">
        <x:v>300</x:v>
      </x:c>
      <x:c r="E767" s="2" t="s">
        <x:v>301</x:v>
      </x:c>
      <x:c r="F767" s="7">
        <x:v>0.11848</x:v>
      </x:c>
      <x:c r="G767" s="2" t="s">
        <x:v>302</x:v>
      </x:c>
      <x:c r="H767" s="8">
        <x:v>0.45</x:v>
      </x:c>
      <x:c r="I767" s="9" t="n">
        <x:f t="shared" si="11">IFERROR(ABS(F767)/H767,"")</x:f>
        <x:v>0.2632888888888889</x:v>
      </x:c>
      <x:c r="J767" s="2" t="s">
        <x:v>298</x:v>
      </x:c>
      <x:c r="K767" s="8">
        <x:v>0.95321</x:v>
      </x:c>
      <x:c r="L767" s="2" t="s">
        <x:v>299</x:v>
      </x:c>
      <x:c r="M767" s="2">
        <x:v>1</x:v>
      </x:c>
      <x:c r="N767" s="2" t="s">
        <x:v>79</x:v>
      </x:c>
      <x:c r="O767" s="5">
        <x:v>63.1</x:v>
      </x:c>
      <x:c r="P767" s="2">
        <x:v>435</x:v>
      </x:c>
      <x:c r="Q767" s="2" t="n">
        <x:f>IF(OR(J767="positive",J767="negative"),1,0)</x:f>
        <x:v>1</x:v>
      </x:c>
    </x:row>
    <x:row r="768" ht="15">
      <x:c r="A768" s="2" t="s">
        <x:v>61</x:v>
      </x:c>
      <x:c r="B768" s="2" t="s">
        <x:v>276</x:v>
      </x:c>
      <x:c r="C768" s="2">
        <x:v>2</x:v>
      </x:c>
      <x:c r="D768" s="2" t="s">
        <x:v>18</x:v>
      </x:c>
      <x:c r="E768" s="2" t="s">
        <x:v>303</x:v>
      </x:c>
      <x:c r="F768" s="7">
        <x:v>2.529E-2</x:v>
      </x:c>
      <x:c r="G768" s="2" t="s">
        <x:v>304</x:v>
      </x:c>
      <x:c r="H768" s="8">
        <x:v>7.4999999999999997E-2</x:v>
      </x:c>
      <x:c r="I768" s="9" t="n">
        <x:f t="shared" si="11">IFERROR(ABS(F768)/H768,"")</x:f>
        <x:v>0.3372</x:v>
      </x:c>
      <x:c r="J768" s="2" t="s">
        <x:v>298</x:v>
      </x:c>
      <x:c r="K768" s="8">
        <x:v>0.91988999999999999</x:v>
      </x:c>
      <x:c r="L768" s="2" t="s">
        <x:v>299</x:v>
      </x:c>
      <x:c r="M768" s="2">
        <x:v>1</x:v>
      </x:c>
      <x:c r="N768" s="2" t="s">
        <x:v>79</x:v>
      </x:c>
      <x:c r="O768" s="5">
        <x:v>63.1</x:v>
      </x:c>
      <x:c r="P768" s="2">
        <x:v>435</x:v>
      </x:c>
      <x:c r="Q768" s="2" t="n">
        <x:f>IF(OR(J768="positive",J768="negative"),1,0)</x:f>
        <x:v>1</x:v>
      </x:c>
    </x:row>
    <x:row r="769" ht="15">
      <x:c r="A769" s="2" t="s">
        <x:v>61</x:v>
      </x:c>
      <x:c r="B769" s="2" t="s">
        <x:v>276</x:v>
      </x:c>
      <x:c r="C769" s="2">
        <x:v>2</x:v>
      </x:c>
      <x:c r="D769" s="2" t="s">
        <x:v>305</x:v>
      </x:c>
      <x:c r="E769" s="2" t="s">
        <x:v>306</x:v>
      </x:c>
      <x:c r="F769" s="7">
        <x:v>-3.117E-2</x:v>
      </x:c>
      <x:c r="G769" s="2" t="s">
        <x:v>304</x:v>
      </x:c>
      <x:c r="H769" s="8">
        <x:v>0.3</x:v>
      </x:c>
      <x:c r="I769" s="9" t="n">
        <x:f t="shared" si="11">IFERROR(ABS(F769)/H769,"")</x:f>
        <x:v>0.1039</x:v>
      </x:c>
      <x:c r="J769" s="2" t="s">
        <x:v>298</x:v>
      </x:c>
      <x:c r="K769" s="8">
        <x:v>0.88170999999999999</x:v>
      </x:c>
      <x:c r="L769" s="2" t="s">
        <x:v>299</x:v>
      </x:c>
      <x:c r="M769" s="2">
        <x:v>1</x:v>
      </x:c>
      <x:c r="N769" s="2" t="s">
        <x:v>79</x:v>
      </x:c>
      <x:c r="O769" s="5">
        <x:v>63.1</x:v>
      </x:c>
      <x:c r="P769" s="2">
        <x:v>435</x:v>
      </x:c>
      <x:c r="Q769" s="2" t="n">
        <x:f>IF(OR(J769="positive",J769="negative"),1,0)</x:f>
        <x:v>1</x:v>
      </x:c>
    </x:row>
    <x:row r="770" ht="15">
      <x:c r="A770" s="2" t="s">
        <x:v>61</x:v>
      </x:c>
      <x:c r="B770" s="2" t="s">
        <x:v>277</x:v>
      </x:c>
      <x:c r="C770" s="2">
        <x:v>3</x:v>
      </x:c>
      <x:c r="D770" s="2" t="s">
        <x:v>295</x:v>
      </x:c>
      <x:c r="E770" s="2" t="s">
        <x:v>296</x:v>
      </x:c>
      <x:c r="F770" s="7">
        <x:v>0.50731000000000004</x:v>
      </x:c>
      <x:c r="G770" s="2" t="s">
        <x:v>297</x:v>
      </x:c>
      <x:c r="H770" s="8">
        <x:v>3.5</x:v>
      </x:c>
      <x:c r="I770" s="9" t="n">
        <x:f t="shared" ref="I770:I801" si="12">IFERROR(ABS(F770)/H770,"")</x:f>
        <x:v>0.1449457142857143</x:v>
      </x:c>
      <x:c r="J770" s="2" t="s">
        <x:v>298</x:v>
      </x:c>
      <x:c r="K770" s="8">
        <x:v>0.96682000000000001</x:v>
      </x:c>
      <x:c r="L770" s="2" t="s">
        <x:v>299</x:v>
      </x:c>
      <x:c r="M770" s="2">
        <x:v>1</x:v>
      </x:c>
      <x:c r="N770" s="2" t="s">
        <x:v>79</x:v>
      </x:c>
      <x:c r="O770" s="5">
        <x:v>57.7</x:v>
      </x:c>
      <x:c r="P770" s="2">
        <x:v>274</x:v>
      </x:c>
      <x:c r="Q770" s="2" t="n">
        <x:f>IF(OR(J770="positive",J770="negative"),1,0)</x:f>
        <x:v>1</x:v>
      </x:c>
    </x:row>
    <x:row r="771" ht="15">
      <x:c r="A771" s="2" t="s">
        <x:v>61</x:v>
      </x:c>
      <x:c r="B771" s="2" t="s">
        <x:v>277</x:v>
      </x:c>
      <x:c r="C771" s="2">
        <x:v>3</x:v>
      </x:c>
      <x:c r="D771" s="2" t="s">
        <x:v>300</x:v>
      </x:c>
      <x:c r="E771" s="2" t="s">
        <x:v>301</x:v>
      </x:c>
      <x:c r="F771" s="7">
        <x:v>0.11620999999999999</x:v>
      </x:c>
      <x:c r="G771" s="2" t="s">
        <x:v>302</x:v>
      </x:c>
      <x:c r="H771" s="8">
        <x:v>0.45</x:v>
      </x:c>
      <x:c r="I771" s="9" t="n">
        <x:f t="shared" si="12">IFERROR(ABS(F771)/H771,"")</x:f>
        <x:v>0.25824444444444444</x:v>
      </x:c>
      <x:c r="J771" s="2" t="s">
        <x:v>298</x:v>
      </x:c>
      <x:c r="K771" s="8">
        <x:v>0.95479999999999998</x:v>
      </x:c>
      <x:c r="L771" s="2" t="s">
        <x:v>299</x:v>
      </x:c>
      <x:c r="M771" s="2">
        <x:v>1</x:v>
      </x:c>
      <x:c r="N771" s="2" t="s">
        <x:v>79</x:v>
      </x:c>
      <x:c r="O771" s="5">
        <x:v>57.7</x:v>
      </x:c>
      <x:c r="P771" s="2">
        <x:v>274</x:v>
      </x:c>
      <x:c r="Q771" s="2" t="n">
        <x:f>IF(OR(J771="positive",J771="negative"),1,0)</x:f>
        <x:v>1</x:v>
      </x:c>
    </x:row>
    <x:row r="772" ht="15">
      <x:c r="A772" s="2" t="s">
        <x:v>61</x:v>
      </x:c>
      <x:c r="B772" s="2" t="s">
        <x:v>277</x:v>
      </x:c>
      <x:c r="C772" s="2">
        <x:v>3</x:v>
      </x:c>
      <x:c r="D772" s="2" t="s">
        <x:v>18</x:v>
      </x:c>
      <x:c r="E772" s="2" t="s">
        <x:v>303</x:v>
      </x:c>
      <x:c r="F772" s="7">
        <x:v>1.61E-2</x:v>
      </x:c>
      <x:c r="G772" s="2" t="s">
        <x:v>304</x:v>
      </x:c>
      <x:c r="H772" s="8">
        <x:v>7.4999999999999997E-2</x:v>
      </x:c>
      <x:c r="I772" s="9" t="n">
        <x:f t="shared" si="12">IFERROR(ABS(F772)/H772,"")</x:f>
        <x:v>0.21466666666666667</x:v>
      </x:c>
      <x:c r="J772" s="2" t="s">
        <x:v>298</x:v>
      </x:c>
      <x:c r="K772" s="8">
        <x:v>0.96396999999999999</x:v>
      </x:c>
      <x:c r="L772" s="2" t="s">
        <x:v>299</x:v>
      </x:c>
      <x:c r="M772" s="2">
        <x:v>1</x:v>
      </x:c>
      <x:c r="N772" s="2" t="s">
        <x:v>79</x:v>
      </x:c>
      <x:c r="O772" s="5">
        <x:v>57.7</x:v>
      </x:c>
      <x:c r="P772" s="2">
        <x:v>274</x:v>
      </x:c>
      <x:c r="Q772" s="2" t="n">
        <x:f>IF(OR(J772="positive",J772="negative"),1,0)</x:f>
        <x:v>1</x:v>
      </x:c>
    </x:row>
    <x:row r="773" ht="15">
      <x:c r="A773" s="2" t="s">
        <x:v>61</x:v>
      </x:c>
      <x:c r="B773" s="2" t="s">
        <x:v>277</x:v>
      </x:c>
      <x:c r="C773" s="2">
        <x:v>3</x:v>
      </x:c>
      <x:c r="D773" s="2" t="s">
        <x:v>305</x:v>
      </x:c>
      <x:c r="E773" s="2" t="s">
        <x:v>306</x:v>
      </x:c>
      <x:c r="F773" s="7">
        <x:v>-3.3529999999999997E-2</x:v>
      </x:c>
      <x:c r="G773" s="2" t="s">
        <x:v>304</x:v>
      </x:c>
      <x:c r="H773" s="8">
        <x:v>0.3</x:v>
      </x:c>
      <x:c r="I773" s="9" t="n">
        <x:f t="shared" si="12">IFERROR(ABS(F773)/H773,"")</x:f>
        <x:v>0.11176666666666667</x:v>
      </x:c>
      <x:c r="J773" s="2" t="s">
        <x:v>298</x:v>
      </x:c>
      <x:c r="K773" s="8">
        <x:v>0.96440000000000003</x:v>
      </x:c>
      <x:c r="L773" s="2" t="s">
        <x:v>299</x:v>
      </x:c>
      <x:c r="M773" s="2">
        <x:v>1</x:v>
      </x:c>
      <x:c r="N773" s="2" t="s">
        <x:v>79</x:v>
      </x:c>
      <x:c r="O773" s="5">
        <x:v>57.7</x:v>
      </x:c>
      <x:c r="P773" s="2">
        <x:v>274</x:v>
      </x:c>
      <x:c r="Q773" s="2" t="n">
        <x:f>IF(OR(J773="positive",J773="negative"),1,0)</x:f>
        <x:v>1</x:v>
      </x:c>
    </x:row>
    <x:row r="774" ht="15">
      <x:c r="A774" s="2" t="s">
        <x:v>61</x:v>
      </x:c>
      <x:c r="B774" s="2" t="s">
        <x:v>278</x:v>
      </x:c>
      <x:c r="C774" s="2">
        <x:v>4</x:v>
      </x:c>
      <x:c r="D774" s="2" t="s">
        <x:v>295</x:v>
      </x:c>
      <x:c r="E774" s="2" t="s">
        <x:v>296</x:v>
      </x:c>
      <x:c r="F774" s="7">
        <x:v>0.35898000000000002</x:v>
      </x:c>
      <x:c r="G774" s="2" t="s">
        <x:v>297</x:v>
      </x:c>
      <x:c r="H774" s="8">
        <x:v>3.5</x:v>
      </x:c>
      <x:c r="I774" s="9" t="n">
        <x:f t="shared" si="12">IFERROR(ABS(F774)/H774,"")</x:f>
        <x:v>0.10256571428571429</x:v>
      </x:c>
      <x:c r="J774" s="2" t="s">
        <x:v>298</x:v>
      </x:c>
      <x:c r="K774" s="8">
        <x:v>0.97575999999999996</x:v>
      </x:c>
      <x:c r="L774" s="2" t="s">
        <x:v>299</x:v>
      </x:c>
      <x:c r="M774" s="2">
        <x:v>1</x:v>
      </x:c>
      <x:c r="N774" s="2" t="s">
        <x:v>79</x:v>
      </x:c>
      <x:c r="O774" s="5">
        <x:v>60</x:v>
      </x:c>
      <x:c r="P774" s="2">
        <x:v>363</x:v>
      </x:c>
      <x:c r="Q774" s="2" t="n">
        <x:f>IF(OR(J774="positive",J774="negative"),1,0)</x:f>
        <x:v>1</x:v>
      </x:c>
    </x:row>
    <x:row r="775" ht="15">
      <x:c r="A775" s="2" t="s">
        <x:v>61</x:v>
      </x:c>
      <x:c r="B775" s="2" t="s">
        <x:v>278</x:v>
      </x:c>
      <x:c r="C775" s="2">
        <x:v>4</x:v>
      </x:c>
      <x:c r="D775" s="2" t="s">
        <x:v>300</x:v>
      </x:c>
      <x:c r="E775" s="2" t="s">
        <x:v>301</x:v>
      </x:c>
      <x:c r="F775" s="7">
        <x:v>0.12037</x:v>
      </x:c>
      <x:c r="G775" s="2" t="s">
        <x:v>302</x:v>
      </x:c>
      <x:c r="H775" s="8">
        <x:v>0.45</x:v>
      </x:c>
      <x:c r="I775" s="9" t="n">
        <x:f t="shared" si="12">IFERROR(ABS(F775)/H775,"")</x:f>
        <x:v>0.2674888888888889</x:v>
      </x:c>
      <x:c r="J775" s="2" t="s">
        <x:v>298</x:v>
      </x:c>
      <x:c r="K775" s="8">
        <x:v>0.91820999999999997</x:v>
      </x:c>
      <x:c r="L775" s="2" t="s">
        <x:v>299</x:v>
      </x:c>
      <x:c r="M775" s="2">
        <x:v>1</x:v>
      </x:c>
      <x:c r="N775" s="2" t="s">
        <x:v>79</x:v>
      </x:c>
      <x:c r="O775" s="5">
        <x:v>60</x:v>
      </x:c>
      <x:c r="P775" s="2">
        <x:v>363</x:v>
      </x:c>
      <x:c r="Q775" s="2" t="n">
        <x:f>IF(OR(J775="positive",J775="negative"),1,0)</x:f>
        <x:v>1</x:v>
      </x:c>
    </x:row>
    <x:row r="776" ht="15">
      <x:c r="A776" s="2" t="s">
        <x:v>61</x:v>
      </x:c>
      <x:c r="B776" s="2" t="s">
        <x:v>278</x:v>
      </x:c>
      <x:c r="C776" s="2">
        <x:v>4</x:v>
      </x:c>
      <x:c r="D776" s="2" t="s">
        <x:v>18</x:v>
      </x:c>
      <x:c r="E776" s="2" t="s">
        <x:v>303</x:v>
      </x:c>
      <x:c r="F776" s="7">
        <x:v>5.5300000000000002E-3</x:v>
      </x:c>
      <x:c r="G776" s="2" t="s">
        <x:v>304</x:v>
      </x:c>
      <x:c r="H776" s="8">
        <x:v>7.4999999999999997E-2</x:v>
      </x:c>
      <x:c r="I776" s="9" t="n">
        <x:f t="shared" si="12">IFERROR(ABS(F776)/H776,"")</x:f>
        <x:v>0.07373333333333335</x:v>
      </x:c>
      <x:c r="J776" s="2" t="s">
        <x:v>298</x:v>
      </x:c>
      <x:c r="K776" s="8">
        <x:v>0.99</x:v>
      </x:c>
      <x:c r="L776" s="2" t="s">
        <x:v>299</x:v>
      </x:c>
      <x:c r="M776" s="2">
        <x:v>1</x:v>
      </x:c>
      <x:c r="N776" s="2" t="s">
        <x:v>79</x:v>
      </x:c>
      <x:c r="O776" s="5">
        <x:v>60</x:v>
      </x:c>
      <x:c r="P776" s="2">
        <x:v>363</x:v>
      </x:c>
      <x:c r="Q776" s="2" t="n">
        <x:f>IF(OR(J776="positive",J776="negative"),1,0)</x:f>
        <x:v>1</x:v>
      </x:c>
    </x:row>
    <x:row r="777" ht="15">
      <x:c r="A777" s="2" t="s">
        <x:v>61</x:v>
      </x:c>
      <x:c r="B777" s="2" t="s">
        <x:v>278</x:v>
      </x:c>
      <x:c r="C777" s="2">
        <x:v>4</x:v>
      </x:c>
      <x:c r="D777" s="2" t="s">
        <x:v>305</x:v>
      </x:c>
      <x:c r="E777" s="2" t="s">
        <x:v>306</x:v>
      </x:c>
      <x:c r="F777" s="7">
        <x:v>5.0000000000000001E-3</x:v>
      </x:c>
      <x:c r="G777" s="2" t="s">
        <x:v>304</x:v>
      </x:c>
      <x:c r="H777" s="8">
        <x:v>0.3</x:v>
      </x:c>
      <x:c r="I777" s="9" t="n">
        <x:f t="shared" si="12">IFERROR(ABS(F777)/H777,"")</x:f>
        <x:v>0.016666666666666666</x:v>
      </x:c>
      <x:c r="J777" s="2" t="s">
        <x:v>298</x:v>
      </x:c>
      <x:c r="K777" s="8">
        <x:v>0.92430999999999996</x:v>
      </x:c>
      <x:c r="L777" s="2" t="s">
        <x:v>299</x:v>
      </x:c>
      <x:c r="M777" s="2">
        <x:v>1</x:v>
      </x:c>
      <x:c r="N777" s="2" t="s">
        <x:v>79</x:v>
      </x:c>
      <x:c r="O777" s="5">
        <x:v>60</x:v>
      </x:c>
      <x:c r="P777" s="2">
        <x:v>363</x:v>
      </x:c>
      <x:c r="Q777" s="2" t="n">
        <x:f>IF(OR(J777="positive",J777="negative"),1,0)</x:f>
        <x:v>1</x:v>
      </x:c>
    </x:row>
    <x:row r="778" ht="15">
      <x:c r="A778" s="2" t="s">
        <x:v>61</x:v>
      </x:c>
      <x:c r="B778" s="2" t="s">
        <x:v>279</x:v>
      </x:c>
      <x:c r="C778" s="2">
        <x:v>5</x:v>
      </x:c>
      <x:c r="D778" s="2" t="s">
        <x:v>295</x:v>
      </x:c>
      <x:c r="E778" s="2" t="s">
        <x:v>296</x:v>
      </x:c>
      <x:c r="F778" s="7">
        <x:v>0.29198000000000002</x:v>
      </x:c>
      <x:c r="G778" s="2" t="s">
        <x:v>297</x:v>
      </x:c>
      <x:c r="H778" s="8">
        <x:v>3.5</x:v>
      </x:c>
      <x:c r="I778" s="9" t="n">
        <x:f t="shared" si="12">IFERROR(ABS(F778)/H778,"")</x:f>
        <x:v>0.08342285714285715</x:v>
      </x:c>
      <x:c r="J778" s="2" t="s">
        <x:v>298</x:v>
      </x:c>
      <x:c r="K778" s="8">
        <x:v>0.92476999999999998</x:v>
      </x:c>
      <x:c r="L778" s="2" t="s">
        <x:v>299</x:v>
      </x:c>
      <x:c r="M778" s="2">
        <x:v>1</x:v>
      </x:c>
      <x:c r="N778" s="2" t="s">
        <x:v>79</x:v>
      </x:c>
      <x:c r="O778" s="5">
        <x:v>61.7</x:v>
      </x:c>
      <x:c r="P778" s="2">
        <x:v>436</x:v>
      </x:c>
      <x:c r="Q778" s="2" t="n">
        <x:f>IF(OR(J778="positive",J778="negative"),1,0)</x:f>
        <x:v>1</x:v>
      </x:c>
    </x:row>
    <x:row r="779" ht="15">
      <x:c r="A779" s="2" t="s">
        <x:v>61</x:v>
      </x:c>
      <x:c r="B779" s="2" t="s">
        <x:v>279</x:v>
      </x:c>
      <x:c r="C779" s="2">
        <x:v>5</x:v>
      </x:c>
      <x:c r="D779" s="2" t="s">
        <x:v>300</x:v>
      </x:c>
      <x:c r="E779" s="2" t="s">
        <x:v>301</x:v>
      </x:c>
      <x:c r="F779" s="7">
        <x:v>0.11028</x:v>
      </x:c>
      <x:c r="G779" s="2" t="s">
        <x:v>302</x:v>
      </x:c>
      <x:c r="H779" s="8">
        <x:v>0.45</x:v>
      </x:c>
      <x:c r="I779" s="9" t="n">
        <x:f t="shared" si="12">IFERROR(ABS(F779)/H779,"")</x:f>
        <x:v>0.24506666666666665</x:v>
      </x:c>
      <x:c r="J779" s="2" t="s">
        <x:v>298</x:v>
      </x:c>
      <x:c r="K779" s="8">
        <x:v>0.95706000000000002</x:v>
      </x:c>
      <x:c r="L779" s="2" t="s">
        <x:v>299</x:v>
      </x:c>
      <x:c r="M779" s="2">
        <x:v>1</x:v>
      </x:c>
      <x:c r="N779" s="2" t="s">
        <x:v>79</x:v>
      </x:c>
      <x:c r="O779" s="5">
        <x:v>61.7</x:v>
      </x:c>
      <x:c r="P779" s="2">
        <x:v>436</x:v>
      </x:c>
      <x:c r="Q779" s="2" t="n">
        <x:f>IF(OR(J779="positive",J779="negative"),1,0)</x:f>
        <x:v>1</x:v>
      </x:c>
    </x:row>
    <x:row r="780" ht="15">
      <x:c r="A780" s="2" t="s">
        <x:v>61</x:v>
      </x:c>
      <x:c r="B780" s="2" t="s">
        <x:v>279</x:v>
      </x:c>
      <x:c r="C780" s="2">
        <x:v>5</x:v>
      </x:c>
      <x:c r="D780" s="2" t="s">
        <x:v>18</x:v>
      </x:c>
      <x:c r="E780" s="2" t="s">
        <x:v>303</x:v>
      </x:c>
      <x:c r="F780" s="7">
        <x:v>8.9200000000000008E-3</x:v>
      </x:c>
      <x:c r="G780" s="2" t="s">
        <x:v>304</x:v>
      </x:c>
      <x:c r="H780" s="8">
        <x:v>7.4999999999999997E-2</x:v>
      </x:c>
      <x:c r="I780" s="9" t="n">
        <x:f t="shared" si="12">IFERROR(ABS(F780)/H780,"")</x:f>
        <x:v>0.11893333333333335</x:v>
      </x:c>
      <x:c r="J780" s="2" t="s">
        <x:v>298</x:v>
      </x:c>
      <x:c r="K780" s="8">
        <x:v>0.92122000000000004</x:v>
      </x:c>
      <x:c r="L780" s="2" t="s">
        <x:v>299</x:v>
      </x:c>
      <x:c r="M780" s="2">
        <x:v>1</x:v>
      </x:c>
      <x:c r="N780" s="2" t="s">
        <x:v>79</x:v>
      </x:c>
      <x:c r="O780" s="5">
        <x:v>61.7</x:v>
      </x:c>
      <x:c r="P780" s="2">
        <x:v>436</x:v>
      </x:c>
      <x:c r="Q780" s="2" t="n">
        <x:f>IF(OR(J780="positive",J780="negative"),1,0)</x:f>
        <x:v>1</x:v>
      </x:c>
    </x:row>
    <x:row r="781" ht="15">
      <x:c r="A781" s="2" t="s">
        <x:v>61</x:v>
      </x:c>
      <x:c r="B781" s="2" t="s">
        <x:v>279</x:v>
      </x:c>
      <x:c r="C781" s="2">
        <x:v>5</x:v>
      </x:c>
      <x:c r="D781" s="2" t="s">
        <x:v>305</x:v>
      </x:c>
      <x:c r="E781" s="2" t="s">
        <x:v>306</x:v>
      </x:c>
      <x:c r="F781" s="7">
        <x:v>-3.7089999999999998E-2</x:v>
      </x:c>
      <x:c r="G781" s="2" t="s">
        <x:v>304</x:v>
      </x:c>
      <x:c r="H781" s="8">
        <x:v>0.3</x:v>
      </x:c>
      <x:c r="I781" s="9" t="n">
        <x:f t="shared" si="12">IFERROR(ABS(F781)/H781,"")</x:f>
        <x:v>0.12363333333333333</x:v>
      </x:c>
      <x:c r="J781" s="2" t="s">
        <x:v>298</x:v>
      </x:c>
      <x:c r="K781" s="8">
        <x:v>0.91279999999999994</x:v>
      </x:c>
      <x:c r="L781" s="2" t="s">
        <x:v>299</x:v>
      </x:c>
      <x:c r="M781" s="2">
        <x:v>1</x:v>
      </x:c>
      <x:c r="N781" s="2" t="s">
        <x:v>79</x:v>
      </x:c>
      <x:c r="O781" s="5">
        <x:v>61.7</x:v>
      </x:c>
      <x:c r="P781" s="2">
        <x:v>436</x:v>
      </x:c>
      <x:c r="Q781" s="2" t="n">
        <x:f>IF(OR(J781="positive",J781="negative"),1,0)</x:f>
        <x:v>1</x:v>
      </x:c>
    </x:row>
    <x:row r="782" ht="15">
      <x:c r="A782" s="2" t="s">
        <x:v>62</x:v>
      </x:c>
      <x:c r="B782" s="2" t="s">
        <x:v>280</x:v>
      </x:c>
      <x:c r="C782" s="2">
        <x:v>1</x:v>
      </x:c>
      <x:c r="D782" s="2" t="s">
        <x:v>295</x:v>
      </x:c>
      <x:c r="E782" s="2" t="s">
        <x:v>296</x:v>
      </x:c>
      <x:c r="F782" s="7">
        <x:v>0.67186999999999997</x:v>
      </x:c>
      <x:c r="G782" s="2" t="s">
        <x:v>297</x:v>
      </x:c>
      <x:c r="H782" s="8">
        <x:v>3.5</x:v>
      </x:c>
      <x:c r="I782" s="9" t="n">
        <x:f t="shared" si="12">IFERROR(ABS(F782)/H782,"")</x:f>
        <x:v>0.19196285714285713</x:v>
      </x:c>
      <x:c r="J782" s="2" t="s">
        <x:v>298</x:v>
      </x:c>
      <x:c r="K782" s="8">
        <x:v>0.93957000000000002</x:v>
      </x:c>
      <x:c r="L782" s="2" t="s">
        <x:v>299</x:v>
      </x:c>
      <x:c r="M782" s="2">
        <x:v>1</x:v>
      </x:c>
      <x:c r="N782" s="2" t="s">
        <x:v>79</x:v>
      </x:c>
      <x:c r="O782" s="5">
        <x:v>60.1</x:v>
      </x:c>
      <x:c r="P782" s="2">
        <x:v>449</x:v>
      </x:c>
      <x:c r="Q782" s="2" t="n">
        <x:f>IF(OR(J782="positive",J782="negative"),1,0)</x:f>
        <x:v>1</x:v>
      </x:c>
    </x:row>
    <x:row r="783" ht="15">
      <x:c r="A783" s="2" t="s">
        <x:v>62</x:v>
      </x:c>
      <x:c r="B783" s="2" t="s">
        <x:v>280</x:v>
      </x:c>
      <x:c r="C783" s="2">
        <x:v>1</x:v>
      </x:c>
      <x:c r="D783" s="2" t="s">
        <x:v>300</x:v>
      </x:c>
      <x:c r="E783" s="2" t="s">
        <x:v>301</x:v>
      </x:c>
      <x:c r="F783" s="7">
        <x:v>5.4199999999999998E-2</x:v>
      </x:c>
      <x:c r="G783" s="2" t="s">
        <x:v>302</x:v>
      </x:c>
      <x:c r="H783" s="8">
        <x:v>0.45</x:v>
      </x:c>
      <x:c r="I783" s="9" t="n">
        <x:f t="shared" si="12">IFERROR(ABS(F783)/H783,"")</x:f>
        <x:v>0.12044444444444444</x:v>
      </x:c>
      <x:c r="J783" s="2" t="s">
        <x:v>298</x:v>
      </x:c>
      <x:c r="K783" s="8">
        <x:v>0.92423</x:v>
      </x:c>
      <x:c r="L783" s="2" t="s">
        <x:v>299</x:v>
      </x:c>
      <x:c r="M783" s="2">
        <x:v>1</x:v>
      </x:c>
      <x:c r="N783" s="2" t="s">
        <x:v>79</x:v>
      </x:c>
      <x:c r="O783" s="5">
        <x:v>60.1</x:v>
      </x:c>
      <x:c r="P783" s="2">
        <x:v>449</x:v>
      </x:c>
      <x:c r="Q783" s="2" t="n">
        <x:f>IF(OR(J783="positive",J783="negative"),1,0)</x:f>
        <x:v>1</x:v>
      </x:c>
    </x:row>
    <x:row r="784" ht="15">
      <x:c r="A784" s="2" t="s">
        <x:v>62</x:v>
      </x:c>
      <x:c r="B784" s="2" t="s">
        <x:v>280</x:v>
      </x:c>
      <x:c r="C784" s="2">
        <x:v>1</x:v>
      </x:c>
      <x:c r="D784" s="2" t="s">
        <x:v>18</x:v>
      </x:c>
      <x:c r="E784" s="2" t="s">
        <x:v>303</x:v>
      </x:c>
      <x:c r="F784" s="7">
        <x:v>1.171E-2</x:v>
      </x:c>
      <x:c r="G784" s="2" t="s">
        <x:v>304</x:v>
      </x:c>
      <x:c r="H784" s="8">
        <x:v>7.4999999999999997E-2</x:v>
      </x:c>
      <x:c r="I784" s="9" t="n">
        <x:f t="shared" si="12">IFERROR(ABS(F784)/H784,"")</x:f>
        <x:v>0.15613333333333335</x:v>
      </x:c>
      <x:c r="J784" s="2" t="s">
        <x:v>298</x:v>
      </x:c>
      <x:c r="K784" s="8">
        <x:v>0.91957</x:v>
      </x:c>
      <x:c r="L784" s="2" t="s">
        <x:v>299</x:v>
      </x:c>
      <x:c r="M784" s="2">
        <x:v>1</x:v>
      </x:c>
      <x:c r="N784" s="2" t="s">
        <x:v>79</x:v>
      </x:c>
      <x:c r="O784" s="5">
        <x:v>60.1</x:v>
      </x:c>
      <x:c r="P784" s="2">
        <x:v>449</x:v>
      </x:c>
      <x:c r="Q784" s="2" t="n">
        <x:f>IF(OR(J784="positive",J784="negative"),1,0)</x:f>
        <x:v>1</x:v>
      </x:c>
    </x:row>
    <x:row r="785" ht="15">
      <x:c r="A785" s="2" t="s">
        <x:v>62</x:v>
      </x:c>
      <x:c r="B785" s="2" t="s">
        <x:v>280</x:v>
      </x:c>
      <x:c r="C785" s="2">
        <x:v>1</x:v>
      </x:c>
      <x:c r="D785" s="2" t="s">
        <x:v>305</x:v>
      </x:c>
      <x:c r="E785" s="2" t="s">
        <x:v>306</x:v>
      </x:c>
      <x:c r="F785" s="7">
        <x:v>-3.9899999999999996E-3</x:v>
      </x:c>
      <x:c r="G785" s="2" t="s">
        <x:v>304</x:v>
      </x:c>
      <x:c r="H785" s="8">
        <x:v>0.3</x:v>
      </x:c>
      <x:c r="I785" s="9" t="n">
        <x:f t="shared" si="12">IFERROR(ABS(F785)/H785,"")</x:f>
        <x:v>0.0133</x:v>
      </x:c>
      <x:c r="J785" s="2" t="s">
        <x:v>298</x:v>
      </x:c>
      <x:c r="K785" s="8">
        <x:v>0.92642000000000002</x:v>
      </x:c>
      <x:c r="L785" s="2" t="s">
        <x:v>299</x:v>
      </x:c>
      <x:c r="M785" s="2">
        <x:v>1</x:v>
      </x:c>
      <x:c r="N785" s="2" t="s">
        <x:v>79</x:v>
      </x:c>
      <x:c r="O785" s="5">
        <x:v>60.1</x:v>
      </x:c>
      <x:c r="P785" s="2">
        <x:v>449</x:v>
      </x:c>
      <x:c r="Q785" s="2" t="n">
        <x:f>IF(OR(J785="positive",J785="negative"),1,0)</x:f>
        <x:v>1</x:v>
      </x:c>
    </x:row>
    <x:row r="786" ht="15">
      <x:c r="A786" s="2" t="s">
        <x:v>62</x:v>
      </x:c>
      <x:c r="B786" s="2" t="s">
        <x:v>281</x:v>
      </x:c>
      <x:c r="C786" s="2">
        <x:v>2</x:v>
      </x:c>
      <x:c r="D786" s="2" t="s">
        <x:v>295</x:v>
      </x:c>
      <x:c r="E786" s="2" t="s">
        <x:v>296</x:v>
      </x:c>
      <x:c r="F786" s="7">
        <x:v>1.0341800000000001</x:v>
      </x:c>
      <x:c r="G786" s="2" t="s">
        <x:v>297</x:v>
      </x:c>
      <x:c r="H786" s="8">
        <x:v>3.5</x:v>
      </x:c>
      <x:c r="I786" s="9" t="n">
        <x:f t="shared" si="12">IFERROR(ABS(F786)/H786,"")</x:f>
        <x:v>0.29548</x:v>
      </x:c>
      <x:c r="J786" s="2" t="s">
        <x:v>298</x:v>
      </x:c>
      <x:c r="K786" s="8">
        <x:v>0.98436000000000001</x:v>
      </x:c>
      <x:c r="L786" s="2" t="s">
        <x:v>299</x:v>
      </x:c>
      <x:c r="M786" s="2">
        <x:v>1</x:v>
      </x:c>
      <x:c r="N786" s="2" t="s">
        <x:v>79</x:v>
      </x:c>
      <x:c r="O786" s="5">
        <x:v>50.8</x:v>
      </x:c>
      <x:c r="P786" s="2">
        <x:v>439</x:v>
      </x:c>
      <x:c r="Q786" s="2" t="n">
        <x:f>IF(OR(J786="positive",J786="negative"),1,0)</x:f>
        <x:v>1</x:v>
      </x:c>
    </x:row>
    <x:row r="787" ht="15">
      <x:c r="A787" s="2" t="s">
        <x:v>62</x:v>
      </x:c>
      <x:c r="B787" s="2" t="s">
        <x:v>281</x:v>
      </x:c>
      <x:c r="C787" s="2">
        <x:v>2</x:v>
      </x:c>
      <x:c r="D787" s="2" t="s">
        <x:v>300</x:v>
      </x:c>
      <x:c r="E787" s="2" t="s">
        <x:v>301</x:v>
      </x:c>
      <x:c r="F787" s="7">
        <x:v>6.293E-2</x:v>
      </x:c>
      <x:c r="G787" s="2" t="s">
        <x:v>302</x:v>
      </x:c>
      <x:c r="H787" s="8">
        <x:v>0.45</x:v>
      </x:c>
      <x:c r="I787" s="9" t="n">
        <x:f t="shared" si="12">IFERROR(ABS(F787)/H787,"")</x:f>
        <x:v>0.13984444444444444</x:v>
      </x:c>
      <x:c r="J787" s="2" t="s">
        <x:v>298</x:v>
      </x:c>
      <x:c r="K787" s="8">
        <x:v>0.94382999999999995</x:v>
      </x:c>
      <x:c r="L787" s="2" t="s">
        <x:v>299</x:v>
      </x:c>
      <x:c r="M787" s="2">
        <x:v>1</x:v>
      </x:c>
      <x:c r="N787" s="2" t="s">
        <x:v>79</x:v>
      </x:c>
      <x:c r="O787" s="5">
        <x:v>50.8</x:v>
      </x:c>
      <x:c r="P787" s="2">
        <x:v>439</x:v>
      </x:c>
      <x:c r="Q787" s="2" t="n">
        <x:f>IF(OR(J787="positive",J787="negative"),1,0)</x:f>
        <x:v>1</x:v>
      </x:c>
    </x:row>
    <x:row r="788" ht="15">
      <x:c r="A788" s="2" t="s">
        <x:v>62</x:v>
      </x:c>
      <x:c r="B788" s="2" t="s">
        <x:v>281</x:v>
      </x:c>
      <x:c r="C788" s="2">
        <x:v>2</x:v>
      </x:c>
      <x:c r="D788" s="2" t="s">
        <x:v>18</x:v>
      </x:c>
      <x:c r="E788" s="2" t="s">
        <x:v>303</x:v>
      </x:c>
      <x:c r="F788" s="7">
        <x:v>9.92E-3</x:v>
      </x:c>
      <x:c r="G788" s="2" t="s">
        <x:v>304</x:v>
      </x:c>
      <x:c r="H788" s="8">
        <x:v>7.4999999999999997E-2</x:v>
      </x:c>
      <x:c r="I788" s="9" t="n">
        <x:f t="shared" si="12">IFERROR(ABS(F788)/H788,"")</x:f>
        <x:v>0.13226666666666667</x:v>
      </x:c>
      <x:c r="J788" s="2" t="s">
        <x:v>298</x:v>
      </x:c>
      <x:c r="K788" s="8">
        <x:v>0.94133</x:v>
      </x:c>
      <x:c r="L788" s="2" t="s">
        <x:v>299</x:v>
      </x:c>
      <x:c r="M788" s="2">
        <x:v>1</x:v>
      </x:c>
      <x:c r="N788" s="2" t="s">
        <x:v>79</x:v>
      </x:c>
      <x:c r="O788" s="5">
        <x:v>50.8</x:v>
      </x:c>
      <x:c r="P788" s="2">
        <x:v>439</x:v>
      </x:c>
      <x:c r="Q788" s="2" t="n">
        <x:f>IF(OR(J788="positive",J788="negative"),1,0)</x:f>
        <x:v>1</x:v>
      </x:c>
    </x:row>
    <x:row r="789" ht="15">
      <x:c r="A789" s="2" t="s">
        <x:v>62</x:v>
      </x:c>
      <x:c r="B789" s="2" t="s">
        <x:v>281</x:v>
      </x:c>
      <x:c r="C789" s="2">
        <x:v>2</x:v>
      </x:c>
      <x:c r="D789" s="2" t="s">
        <x:v>305</x:v>
      </x:c>
      <x:c r="E789" s="2" t="s">
        <x:v>306</x:v>
      </x:c>
      <x:c r="F789" s="7">
        <x:v>-2.9700000000000001E-2</x:v>
      </x:c>
      <x:c r="G789" s="2" t="s">
        <x:v>304</x:v>
      </x:c>
      <x:c r="H789" s="8">
        <x:v>0.3</x:v>
      </x:c>
      <x:c r="I789" s="9" t="n">
        <x:f t="shared" si="12">IFERROR(ABS(F789)/H789,"")</x:f>
        <x:v>0.099</x:v>
      </x:c>
      <x:c r="J789" s="2" t="s">
        <x:v>298</x:v>
      </x:c>
      <x:c r="K789" s="8">
        <x:v>0.91285000000000005</x:v>
      </x:c>
      <x:c r="L789" s="2" t="s">
        <x:v>299</x:v>
      </x:c>
      <x:c r="M789" s="2">
        <x:v>1</x:v>
      </x:c>
      <x:c r="N789" s="2" t="s">
        <x:v>79</x:v>
      </x:c>
      <x:c r="O789" s="5">
        <x:v>50.8</x:v>
      </x:c>
      <x:c r="P789" s="2">
        <x:v>439</x:v>
      </x:c>
      <x:c r="Q789" s="2" t="n">
        <x:f>IF(OR(J789="positive",J789="negative"),1,0)</x:f>
        <x:v>1</x:v>
      </x:c>
    </x:row>
    <x:row r="790" ht="15">
      <x:c r="A790" s="2" t="s">
        <x:v>62</x:v>
      </x:c>
      <x:c r="B790" s="2" t="s">
        <x:v>282</x:v>
      </x:c>
      <x:c r="C790" s="2">
        <x:v>3</x:v>
      </x:c>
      <x:c r="D790" s="2" t="s">
        <x:v>295</x:v>
      </x:c>
      <x:c r="E790" s="2" t="s">
        <x:v>296</x:v>
      </x:c>
      <x:c r="F790" s="7">
        <x:v>0.84409999999999996</x:v>
      </x:c>
      <x:c r="G790" s="2" t="s">
        <x:v>297</x:v>
      </x:c>
      <x:c r="H790" s="8">
        <x:v>3.5</x:v>
      </x:c>
      <x:c r="I790" s="9" t="n">
        <x:f t="shared" si="12">IFERROR(ABS(F790)/H790,"")</x:f>
        <x:v>0.24117142857142856</x:v>
      </x:c>
      <x:c r="J790" s="2" t="s">
        <x:v>298</x:v>
      </x:c>
      <x:c r="K790" s="8">
        <x:v>0.94323000000000001</x:v>
      </x:c>
      <x:c r="L790" s="2" t="s">
        <x:v>299</x:v>
      </x:c>
      <x:c r="M790" s="2">
        <x:v>1</x:v>
      </x:c>
      <x:c r="N790" s="2" t="s">
        <x:v>79</x:v>
      </x:c>
      <x:c r="O790" s="5">
        <x:v>64.099999999999994</x:v>
      </x:c>
      <x:c r="P790" s="2">
        <x:v>522</x:v>
      </x:c>
      <x:c r="Q790" s="2" t="n">
        <x:f>IF(OR(J790="positive",J790="negative"),1,0)</x:f>
        <x:v>1</x:v>
      </x:c>
    </x:row>
    <x:row r="791" ht="15">
      <x:c r="A791" s="2" t="s">
        <x:v>62</x:v>
      </x:c>
      <x:c r="B791" s="2" t="s">
        <x:v>282</x:v>
      </x:c>
      <x:c r="C791" s="2">
        <x:v>3</x:v>
      </x:c>
      <x:c r="D791" s="2" t="s">
        <x:v>300</x:v>
      </x:c>
      <x:c r="E791" s="2" t="s">
        <x:v>301</x:v>
      </x:c>
      <x:c r="F791" s="7">
        <x:v>4.2659999999999997E-2</x:v>
      </x:c>
      <x:c r="G791" s="2" t="s">
        <x:v>302</x:v>
      </x:c>
      <x:c r="H791" s="8">
        <x:v>0.45</x:v>
      </x:c>
      <x:c r="I791" s="9" t="n">
        <x:f t="shared" si="12">IFERROR(ABS(F791)/H791,"")</x:f>
        <x:v>0.0948</x:v>
      </x:c>
      <x:c r="J791" s="2" t="s">
        <x:v>298</x:v>
      </x:c>
      <x:c r="K791" s="8">
        <x:v>0.94108999999999998</x:v>
      </x:c>
      <x:c r="L791" s="2" t="s">
        <x:v>299</x:v>
      </x:c>
      <x:c r="M791" s="2">
        <x:v>1</x:v>
      </x:c>
      <x:c r="N791" s="2" t="s">
        <x:v>79</x:v>
      </x:c>
      <x:c r="O791" s="5">
        <x:v>64.099999999999994</x:v>
      </x:c>
      <x:c r="P791" s="2">
        <x:v>522</x:v>
      </x:c>
      <x:c r="Q791" s="2" t="n">
        <x:f>IF(OR(J791="positive",J791="negative"),1,0)</x:f>
        <x:v>1</x:v>
      </x:c>
    </x:row>
    <x:row r="792" ht="15">
      <x:c r="A792" s="2" t="s">
        <x:v>62</x:v>
      </x:c>
      <x:c r="B792" s="2" t="s">
        <x:v>282</x:v>
      </x:c>
      <x:c r="C792" s="2">
        <x:v>3</x:v>
      </x:c>
      <x:c r="D792" s="2" t="s">
        <x:v>18</x:v>
      </x:c>
      <x:c r="E792" s="2" t="s">
        <x:v>303</x:v>
      </x:c>
      <x:c r="F792" s="7">
        <x:v>1.0410000000000001E-2</x:v>
      </x:c>
      <x:c r="G792" s="2" t="s">
        <x:v>304</x:v>
      </x:c>
      <x:c r="H792" s="8">
        <x:v>7.4999999999999997E-2</x:v>
      </x:c>
      <x:c r="I792" s="9" t="n">
        <x:f t="shared" si="12">IFERROR(ABS(F792)/H792,"")</x:f>
        <x:v>0.1388</x:v>
      </x:c>
      <x:c r="J792" s="2" t="s">
        <x:v>298</x:v>
      </x:c>
      <x:c r="K792" s="8">
        <x:v>0.95650000000000002</x:v>
      </x:c>
      <x:c r="L792" s="2" t="s">
        <x:v>299</x:v>
      </x:c>
      <x:c r="M792" s="2">
        <x:v>1</x:v>
      </x:c>
      <x:c r="N792" s="2" t="s">
        <x:v>79</x:v>
      </x:c>
      <x:c r="O792" s="5">
        <x:v>64.099999999999994</x:v>
      </x:c>
      <x:c r="P792" s="2">
        <x:v>522</x:v>
      </x:c>
      <x:c r="Q792" s="2" t="n">
        <x:f>IF(OR(J792="positive",J792="negative"),1,0)</x:f>
        <x:v>1</x:v>
      </x:c>
    </x:row>
    <x:row r="793" ht="15">
      <x:c r="A793" s="2" t="s">
        <x:v>62</x:v>
      </x:c>
      <x:c r="B793" s="2" t="s">
        <x:v>282</x:v>
      </x:c>
      <x:c r="C793" s="2">
        <x:v>3</x:v>
      </x:c>
      <x:c r="D793" s="2" t="s">
        <x:v>305</x:v>
      </x:c>
      <x:c r="E793" s="2" t="s">
        <x:v>306</x:v>
      </x:c>
      <x:c r="F793" s="7">
        <x:v>-4.0590000000000001E-2</x:v>
      </x:c>
      <x:c r="G793" s="2" t="s">
        <x:v>304</x:v>
      </x:c>
      <x:c r="H793" s="8">
        <x:v>0.3</x:v>
      </x:c>
      <x:c r="I793" s="9" t="n">
        <x:f t="shared" si="12">IFERROR(ABS(F793)/H793,"")</x:f>
        <x:v>0.1353</x:v>
      </x:c>
      <x:c r="J793" s="2" t="s">
        <x:v>298</x:v>
      </x:c>
      <x:c r="K793" s="8">
        <x:v>0.91847000000000001</x:v>
      </x:c>
      <x:c r="L793" s="2" t="s">
        <x:v>299</x:v>
      </x:c>
      <x:c r="M793" s="2">
        <x:v>1</x:v>
      </x:c>
      <x:c r="N793" s="2" t="s">
        <x:v>79</x:v>
      </x:c>
      <x:c r="O793" s="5">
        <x:v>64.099999999999994</x:v>
      </x:c>
      <x:c r="P793" s="2">
        <x:v>522</x:v>
      </x:c>
      <x:c r="Q793" s="2" t="n">
        <x:f>IF(OR(J793="positive",J793="negative"),1,0)</x:f>
        <x:v>1</x:v>
      </x:c>
    </x:row>
    <x:row r="794" ht="15">
      <x:c r="A794" s="2" t="s">
        <x:v>62</x:v>
      </x:c>
      <x:c r="B794" s="2" t="s">
        <x:v>283</x:v>
      </x:c>
      <x:c r="C794" s="2">
        <x:v>4</x:v>
      </x:c>
      <x:c r="D794" s="2" t="s">
        <x:v>295</x:v>
      </x:c>
      <x:c r="E794" s="2" t="s">
        <x:v>296</x:v>
      </x:c>
      <x:c r="F794" s="7">
        <x:v>0.93206</x:v>
      </x:c>
      <x:c r="G794" s="2" t="s">
        <x:v>297</x:v>
      </x:c>
      <x:c r="H794" s="8">
        <x:v>3.5</x:v>
      </x:c>
      <x:c r="I794" s="9" t="n">
        <x:f t="shared" si="12">IFERROR(ABS(F794)/H794,"")</x:f>
        <x:v>0.2663028571428571</x:v>
      </x:c>
      <x:c r="J794" s="2" t="s">
        <x:v>298</x:v>
      </x:c>
      <x:c r="K794" s="8">
        <x:v>0.90239999999999998</x:v>
      </x:c>
      <x:c r="L794" s="2" t="s">
        <x:v>299</x:v>
      </x:c>
      <x:c r="M794" s="2">
        <x:v>1</x:v>
      </x:c>
      <x:c r="N794" s="2" t="s">
        <x:v>79</x:v>
      </x:c>
      <x:c r="O794" s="5">
        <x:v>63.3</x:v>
      </x:c>
      <x:c r="P794" s="2">
        <x:v>263</x:v>
      </x:c>
      <x:c r="Q794" s="2" t="n">
        <x:f>IF(OR(J794="positive",J794="negative"),1,0)</x:f>
        <x:v>1</x:v>
      </x:c>
    </x:row>
    <x:row r="795" ht="15">
      <x:c r="A795" s="2" t="s">
        <x:v>62</x:v>
      </x:c>
      <x:c r="B795" s="2" t="s">
        <x:v>283</x:v>
      </x:c>
      <x:c r="C795" s="2">
        <x:v>4</x:v>
      </x:c>
      <x:c r="D795" s="2" t="s">
        <x:v>300</x:v>
      </x:c>
      <x:c r="E795" s="2" t="s">
        <x:v>301</x:v>
      </x:c>
      <x:c r="F795" s="7">
        <x:v>6.5240000000000006E-2</x:v>
      </x:c>
      <x:c r="G795" s="2" t="s">
        <x:v>302</x:v>
      </x:c>
      <x:c r="H795" s="8">
        <x:v>0.45</x:v>
      </x:c>
      <x:c r="I795" s="9" t="n">
        <x:f t="shared" si="12">IFERROR(ABS(F795)/H795,"")</x:f>
        <x:v>0.1449777777777778</x:v>
      </x:c>
      <x:c r="J795" s="2" t="s">
        <x:v>298</x:v>
      </x:c>
      <x:c r="K795" s="8">
        <x:v>0.93979000000000001</x:v>
      </x:c>
      <x:c r="L795" s="2" t="s">
        <x:v>299</x:v>
      </x:c>
      <x:c r="M795" s="2">
        <x:v>1</x:v>
      </x:c>
      <x:c r="N795" s="2" t="s">
        <x:v>79</x:v>
      </x:c>
      <x:c r="O795" s="5">
        <x:v>63.3</x:v>
      </x:c>
      <x:c r="P795" s="2">
        <x:v>263</x:v>
      </x:c>
      <x:c r="Q795" s="2" t="n">
        <x:f>IF(OR(J795="positive",J795="negative"),1,0)</x:f>
        <x:v>1</x:v>
      </x:c>
    </x:row>
    <x:row r="796" ht="15">
      <x:c r="A796" s="2" t="s">
        <x:v>62</x:v>
      </x:c>
      <x:c r="B796" s="2" t="s">
        <x:v>283</x:v>
      </x:c>
      <x:c r="C796" s="2">
        <x:v>4</x:v>
      </x:c>
      <x:c r="D796" s="2" t="s">
        <x:v>18</x:v>
      </x:c>
      <x:c r="E796" s="2" t="s">
        <x:v>303</x:v>
      </x:c>
      <x:c r="F796" s="7">
        <x:v>1.434E-2</x:v>
      </x:c>
      <x:c r="G796" s="2" t="s">
        <x:v>304</x:v>
      </x:c>
      <x:c r="H796" s="8">
        <x:v>7.4999999999999997E-2</x:v>
      </x:c>
      <x:c r="I796" s="9" t="n">
        <x:f t="shared" si="12">IFERROR(ABS(F796)/H796,"")</x:f>
        <x:v>0.1912</x:v>
      </x:c>
      <x:c r="J796" s="2" t="s">
        <x:v>298</x:v>
      </x:c>
      <x:c r="K796" s="8">
        <x:v>0.97602999999999995</x:v>
      </x:c>
      <x:c r="L796" s="2" t="s">
        <x:v>299</x:v>
      </x:c>
      <x:c r="M796" s="2">
        <x:v>1</x:v>
      </x:c>
      <x:c r="N796" s="2" t="s">
        <x:v>79</x:v>
      </x:c>
      <x:c r="O796" s="5">
        <x:v>63.3</x:v>
      </x:c>
      <x:c r="P796" s="2">
        <x:v>263</x:v>
      </x:c>
      <x:c r="Q796" s="2" t="n">
        <x:f>IF(OR(J796="positive",J796="negative"),1,0)</x:f>
        <x:v>1</x:v>
      </x:c>
    </x:row>
    <x:row r="797" ht="15">
      <x:c r="A797" s="2" t="s">
        <x:v>62</x:v>
      </x:c>
      <x:c r="B797" s="2" t="s">
        <x:v>283</x:v>
      </x:c>
      <x:c r="C797" s="2">
        <x:v>4</x:v>
      </x:c>
      <x:c r="D797" s="2" t="s">
        <x:v>305</x:v>
      </x:c>
      <x:c r="E797" s="2" t="s">
        <x:v>306</x:v>
      </x:c>
      <x:c r="F797" s="7">
        <x:v>-1.272E-2</x:v>
      </x:c>
      <x:c r="G797" s="2" t="s">
        <x:v>304</x:v>
      </x:c>
      <x:c r="H797" s="8">
        <x:v>0.3</x:v>
      </x:c>
      <x:c r="I797" s="9" t="n">
        <x:f t="shared" si="12">IFERROR(ABS(F797)/H797,"")</x:f>
        <x:v>0.0424</x:v>
      </x:c>
      <x:c r="J797" s="2" t="s">
        <x:v>298</x:v>
      </x:c>
      <x:c r="K797" s="8">
        <x:v>0.91159999999999997</x:v>
      </x:c>
      <x:c r="L797" s="2" t="s">
        <x:v>299</x:v>
      </x:c>
      <x:c r="M797" s="2">
        <x:v>1</x:v>
      </x:c>
      <x:c r="N797" s="2" t="s">
        <x:v>79</x:v>
      </x:c>
      <x:c r="O797" s="5">
        <x:v>63.3</x:v>
      </x:c>
      <x:c r="P797" s="2">
        <x:v>263</x:v>
      </x:c>
      <x:c r="Q797" s="2" t="n">
        <x:f>IF(OR(J797="positive",J797="negative"),1,0)</x:f>
        <x:v>1</x:v>
      </x:c>
    </x:row>
    <x:row r="798" ht="15">
      <x:c r="A798" s="2" t="s">
        <x:v>62</x:v>
      </x:c>
      <x:c r="B798" s="2" t="s">
        <x:v>284</x:v>
      </x:c>
      <x:c r="C798" s="2">
        <x:v>5</x:v>
      </x:c>
      <x:c r="D798" s="2" t="s">
        <x:v>295</x:v>
      </x:c>
      <x:c r="E798" s="2" t="s">
        <x:v>296</x:v>
      </x:c>
      <x:c r="F798" s="7">
        <x:v>0.78447999999999996</x:v>
      </x:c>
      <x:c r="G798" s="2" t="s">
        <x:v>297</x:v>
      </x:c>
      <x:c r="H798" s="8">
        <x:v>3.5</x:v>
      </x:c>
      <x:c r="I798" s="9" t="n">
        <x:f t="shared" si="12">IFERROR(ABS(F798)/H798,"")</x:f>
        <x:v>0.22413714285714284</x:v>
      </x:c>
      <x:c r="J798" s="2" t="s">
        <x:v>298</x:v>
      </x:c>
      <x:c r="K798" s="8">
        <x:v>0.95143999999999995</x:v>
      </x:c>
      <x:c r="L798" s="2" t="s">
        <x:v>299</x:v>
      </x:c>
      <x:c r="M798" s="2">
        <x:v>1</x:v>
      </x:c>
      <x:c r="N798" s="2" t="s">
        <x:v>79</x:v>
      </x:c>
      <x:c r="O798" s="5">
        <x:v>57.1</x:v>
      </x:c>
      <x:c r="P798" s="2">
        <x:v>690</x:v>
      </x:c>
      <x:c r="Q798" s="2" t="n">
        <x:f>IF(OR(J798="positive",J798="negative"),1,0)</x:f>
        <x:v>1</x:v>
      </x:c>
    </x:row>
    <x:row r="799" ht="15">
      <x:c r="A799" s="2" t="s">
        <x:v>62</x:v>
      </x:c>
      <x:c r="B799" s="2" t="s">
        <x:v>284</x:v>
      </x:c>
      <x:c r="C799" s="2">
        <x:v>5</x:v>
      </x:c>
      <x:c r="D799" s="2" t="s">
        <x:v>300</x:v>
      </x:c>
      <x:c r="E799" s="2" t="s">
        <x:v>301</x:v>
      </x:c>
      <x:c r="F799" s="7">
        <x:v>6.3799999999999996E-2</x:v>
      </x:c>
      <x:c r="G799" s="2" t="s">
        <x:v>302</x:v>
      </x:c>
      <x:c r="H799" s="8">
        <x:v>0.45</x:v>
      </x:c>
      <x:c r="I799" s="9" t="n">
        <x:f t="shared" si="12">IFERROR(ABS(F799)/H799,"")</x:f>
        <x:v>0.14177777777777775</x:v>
      </x:c>
      <x:c r="J799" s="2" t="s">
        <x:v>307</x:v>
      </x:c>
      <x:c r="K799" s="8">
        <x:v>0.47443000000000002</x:v>
      </x:c>
      <x:c r="L799" s="2" t="s">
        <x:v>312</x:v>
      </x:c>
      <x:c r="M799" s="2">
        <x:v>1</x:v>
      </x:c>
      <x:c r="N799" s="2" t="s">
        <x:v>79</x:v>
      </x:c>
      <x:c r="O799" s="5">
        <x:v>57.1</x:v>
      </x:c>
      <x:c r="P799" s="2">
        <x:v>690</x:v>
      </x:c>
      <x:c r="Q799" s="2" t="n">
        <x:f>IF(OR(J799="positive",J799="negative"),1,0)</x:f>
        <x:v>0</x:v>
      </x:c>
    </x:row>
    <x:row r="800" ht="15">
      <x:c r="A800" s="2" t="s">
        <x:v>62</x:v>
      </x:c>
      <x:c r="B800" s="2" t="s">
        <x:v>284</x:v>
      </x:c>
      <x:c r="C800" s="2">
        <x:v>5</x:v>
      </x:c>
      <x:c r="D800" s="2" t="s">
        <x:v>18</x:v>
      </x:c>
      <x:c r="E800" s="2" t="s">
        <x:v>303</x:v>
      </x:c>
      <x:c r="F800" s="7">
        <x:v>-1.0399999999999999E-3</x:v>
      </x:c>
      <x:c r="G800" s="2" t="s">
        <x:v>304</x:v>
      </x:c>
      <x:c r="H800" s="8">
        <x:v>7.4999999999999997E-2</x:v>
      </x:c>
      <x:c r="I800" s="9" t="n">
        <x:f t="shared" si="12">IFERROR(ABS(F800)/H800,"")</x:f>
        <x:v>0.013866666666666666</x:v>
      </x:c>
      <x:c r="J800" s="2" t="s">
        <x:v>298</x:v>
      </x:c>
      <x:c r="K800" s="8">
        <x:v>0.93937000000000004</x:v>
      </x:c>
      <x:c r="L800" s="2" t="s">
        <x:v>299</x:v>
      </x:c>
      <x:c r="M800" s="2">
        <x:v>1</x:v>
      </x:c>
      <x:c r="N800" s="2" t="s">
        <x:v>79</x:v>
      </x:c>
      <x:c r="O800" s="5">
        <x:v>57.1</x:v>
      </x:c>
      <x:c r="P800" s="2">
        <x:v>690</x:v>
      </x:c>
      <x:c r="Q800" s="2" t="n">
        <x:f>IF(OR(J800="positive",J800="negative"),1,0)</x:f>
        <x:v>1</x:v>
      </x:c>
    </x:row>
    <x:row r="801" ht="15">
      <x:c r="A801" s="2" t="s">
        <x:v>62</x:v>
      </x:c>
      <x:c r="B801" s="2" t="s">
        <x:v>284</x:v>
      </x:c>
      <x:c r="C801" s="2">
        <x:v>5</x:v>
      </x:c>
      <x:c r="D801" s="2" t="s">
        <x:v>305</x:v>
      </x:c>
      <x:c r="E801" s="2" t="s">
        <x:v>306</x:v>
      </x:c>
      <x:c r="F801" s="7">
        <x:v>2.65E-3</x:v>
      </x:c>
      <x:c r="G801" s="2" t="s">
        <x:v>304</x:v>
      </x:c>
      <x:c r="H801" s="8">
        <x:v>0.3</x:v>
      </x:c>
      <x:c r="I801" s="9" t="n">
        <x:f t="shared" si="12">IFERROR(ABS(F801)/H801,"")</x:f>
        <x:v>0.008833333333333334</x:v>
      </x:c>
      <x:c r="J801" s="2" t="s">
        <x:v>298</x:v>
      </x:c>
      <x:c r="K801" s="8">
        <x:v>0.96528000000000003</x:v>
      </x:c>
      <x:c r="L801" s="2" t="s">
        <x:v>299</x:v>
      </x:c>
      <x:c r="M801" s="2">
        <x:v>1</x:v>
      </x:c>
      <x:c r="N801" s="2" t="s">
        <x:v>79</x:v>
      </x:c>
      <x:c r="O801" s="5">
        <x:v>57.1</x:v>
      </x:c>
      <x:c r="P801" s="2">
        <x:v>690</x:v>
      </x:c>
      <x:c r="Q801" s="2" t="n">
        <x:f>IF(OR(J801="positive",J801="negative"),1,0)</x:f>
        <x:v>1</x:v>
      </x:c>
    </x:row>
  </x:sheetData>
  <x:conditionalFormatting sqref="J2:J801">
    <x:cfRule type="containsText" dxfId="2" priority="1" operator="containsText" text="insufficient"/>
    <x:cfRule type="containsText" dxfId="1" priority="2" operator="containsText" text="positive"/>
    <x:cfRule type="containsText" dxfId="0" priority="3" operator="containsText" text="negative"/>
  </x:conditionalFormatting>
  <x:dataValidations count="1">
    <x:dataValidation type="list" sqref="J2:J801">
      <x:formula1>"negative,positive,insufficient,skipped"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3e6b0385ff4a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8" customWidth="1"/>
    <x:col min="2" max="2" width="42" customWidth="1"/>
    <x:col min="3" max="8" width="16" customWidth="1"/>
  </x:cols>
  <x:sheetData>
    <x:row r="1" ht="36" customHeight="1">
      <x:c r="A1" s="16" t="s">
        <x:v>314</x:v>
      </x:c>
      <x:c r="B1" s="15"/>
      <x:c r="C1" s="15"/>
      <x:c r="D1" s="15"/>
      <x:c r="E1" s="15"/>
      <x:c r="F1" s="15"/>
      <x:c r="G1" s="15"/>
      <x:c r="H1" s="15"/>
    </x:row>
    <x:row r="2" ht="34" customHeight="1">
      <x:c r="A2" s="13" t="s">
        <x:v>315</x:v>
      </x:c>
      <x:c r="B2" s="13" t="s">
        <x:v>316</x:v>
      </x:c>
      <x:c r="C2" s="13" t="s">
        <x:v>317</x:v>
      </x:c>
      <x:c r="D2" s="13" t="s">
        <x:v>318</x:v>
      </x:c>
      <x:c r="E2" s="13" t="s">
        <x:v>319</x:v>
      </x:c>
      <x:c r="F2" s="13" t="s">
        <x:v>320</x:v>
      </x:c>
      <x:c r="G2" s="13" t="s">
        <x:v>321</x:v>
      </x:c>
      <x:c r="H2" s="13" t="s">
        <x:v>322</x:v>
      </x:c>
    </x:row>
    <x:row r="3" ht="15">
      <x:c r="A3" s="12" t="s">
        <x:v>295</x:v>
      </x:c>
      <x:c r="B3" s="12" t="s">
        <x:v>296</x:v>
      </x:c>
      <x:c r="C3" s="12" t="n">
        <x:f>COUNTIF('模块测量'!$D$2:$D$801,A3)</x:f>
        <x:v>200</x:v>
      </x:c>
      <x:c r="D3" s="12" t="n">
        <x:f>COUNTIFS('模块测量'!$D$2:$D$801,A3,'模块测量'!$J$2:$J$801,"negative")</x:f>
        <x:v>195</x:v>
      </x:c>
      <x:c r="E3" s="12" t="n">
        <x:f>COUNTIFS('模块测量'!$D$2:$D$801,A3,'模块测量'!$J$2:$J$801,"positive")</x:f>
        <x:v>1</x:v>
      </x:c>
      <x:c r="F3" s="12" t="n">
        <x:f>COUNTIFS('模块测量'!$D$2:$D$801,A3,'模块测量'!$J$2:$J$801,"insufficient")</x:f>
        <x:v>4</x:v>
      </x:c>
      <x:c r="G3" s="14" t="n">
        <x:f>IFERROR((D3+E3)/C3,0)</x:f>
        <x:v>0.98</x:v>
      </x:c>
      <x:c r="H3" s="14" t="n">
        <x:f>AVERAGEIF('模块测量'!$D$2:$D$801,A3,'模块测量'!$K$2:$K$801)</x:f>
        <x:v>0.9334139000000009</x:v>
      </x:c>
    </x:row>
    <x:row r="4" ht="15">
      <x:c r="A4" s="12" t="s">
        <x:v>300</x:v>
      </x:c>
      <x:c r="B4" s="12" t="s">
        <x:v>301</x:v>
      </x:c>
      <x:c r="C4" s="12" t="n">
        <x:f>COUNTIF('模块测量'!$D$2:$D$801,A4)</x:f>
        <x:v>200</x:v>
      </x:c>
      <x:c r="D4" s="12" t="n">
        <x:f>COUNTIFS('模块测量'!$D$2:$D$801,A4,'模块测量'!$J$2:$J$801,"negative")</x:f>
        <x:v>195</x:v>
      </x:c>
      <x:c r="E4" s="12" t="n">
        <x:f>COUNTIFS('模块测量'!$D$2:$D$801,A4,'模块测量'!$J$2:$J$801,"positive")</x:f>
        <x:v>1</x:v>
      </x:c>
      <x:c r="F4" s="12" t="n">
        <x:f>COUNTIFS('模块测量'!$D$2:$D$801,A4,'模块测量'!$J$2:$J$801,"insufficient")</x:f>
        <x:v>4</x:v>
      </x:c>
      <x:c r="G4" s="14" t="n">
        <x:f>IFERROR((D4+E4)/C4,0)</x:f>
        <x:v>0.98</x:v>
      </x:c>
      <x:c r="H4" s="14" t="n">
        <x:f>AVERAGEIF('模块测量'!$D$2:$D$801,A4,'模块测量'!$K$2:$K$801)</x:f>
        <x:v>0.9279546500000003</x:v>
      </x:c>
    </x:row>
    <x:row r="5" ht="15">
      <x:c r="A5" s="12" t="s">
        <x:v>18</x:v>
      </x:c>
      <x:c r="B5" s="12" t="s">
        <x:v>303</x:v>
      </x:c>
      <x:c r="C5" s="12" t="n">
        <x:f>COUNTIF('模块测量'!$D$2:$D$801,A5)</x:f>
        <x:v>200</x:v>
      </x:c>
      <x:c r="D5" s="12" t="n">
        <x:f>COUNTIFS('模块测量'!$D$2:$D$801,A5,'模块测量'!$J$2:$J$801,"negative")</x:f>
        <x:v>195</x:v>
      </x:c>
      <x:c r="E5" s="12" t="n">
        <x:f>COUNTIFS('模块测量'!$D$2:$D$801,A5,'模块测量'!$J$2:$J$801,"positive")</x:f>
        <x:v>1</x:v>
      </x:c>
      <x:c r="F5" s="12" t="n">
        <x:f>COUNTIFS('模块测量'!$D$2:$D$801,A5,'模块测量'!$J$2:$J$801,"insufficient")</x:f>
        <x:v>4</x:v>
      </x:c>
      <x:c r="G5" s="14" t="n">
        <x:f>IFERROR((D5+E5)/C5,0)</x:f>
        <x:v>0.98</x:v>
      </x:c>
      <x:c r="H5" s="14" t="n">
        <x:f>AVERAGEIF('模块测量'!$D$2:$D$801,A5,'模块测量'!$K$2:$K$801)</x:f>
        <x:v>0.93130815</x:v>
      </x:c>
    </x:row>
    <x:row r="6" ht="15">
      <x:c r="A6" s="12" t="s">
        <x:v>305</x:v>
      </x:c>
      <x:c r="B6" s="12" t="s">
        <x:v>306</x:v>
      </x:c>
      <x:c r="C6" s="12" t="n">
        <x:f>COUNTIF('模块测量'!$D$2:$D$801,A6)</x:f>
        <x:v>200</x:v>
      </x:c>
      <x:c r="D6" s="12" t="n">
        <x:f>COUNTIFS('模块测量'!$D$2:$D$801,A6,'模块测量'!$J$2:$J$801,"negative")</x:f>
        <x:v>195</x:v>
      </x:c>
      <x:c r="E6" s="12" t="n">
        <x:f>COUNTIFS('模块测量'!$D$2:$D$801,A6,'模块测量'!$J$2:$J$801,"positive")</x:f>
        <x:v>1</x:v>
      </x:c>
      <x:c r="F6" s="12" t="n">
        <x:f>COUNTIFS('模块测量'!$D$2:$D$801,A6,'模块测量'!$J$2:$J$801,"insufficient")</x:f>
        <x:v>4</x:v>
      </x:c>
      <x:c r="G6" s="14" t="n">
        <x:f>IFERROR((D6+E6)/C6,0)</x:f>
        <x:v>0.98</x:v>
      </x:c>
      <x:c r="H6" s="14" t="n">
        <x:f>AVERAGEIF('模块测量'!$D$2:$D$801,A6,'模块测量'!$K$2:$K$801)</x:f>
        <x:v>0.9310027500000001</x:v>
      </x:c>
    </x:row>
    <x:row r="7" ht="71" customHeight="1"/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3a65d3c21b14a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22" customWidth="1"/>
    <x:col min="3" max="3" width="42" customWidth="1"/>
    <x:col min="4" max="5" width="28" customWidth="1"/>
    <x:col min="6" max="6" width="52" customWidth="1"/>
  </x:cols>
  <x:sheetData>
    <x:row r="1" ht="34" customHeight="1">
      <x:c r="A1" s="10" t="s">
        <x:v>323</x:v>
      </x:c>
      <x:c r="B1" s="10" t="s">
        <x:v>324</x:v>
      </x:c>
      <x:c r="C1" s="10" t="s">
        <x:v>325</x:v>
      </x:c>
      <x:c r="D1" s="10" t="s">
        <x:v>326</x:v>
      </x:c>
      <x:c r="E1" s="10" t="s">
        <x:v>327</x:v>
      </x:c>
      <x:c r="F1" s="10" t="s">
        <x:v>328</x:v>
      </x:c>
    </x:row>
    <x:row r="2" ht="15">
      <x:c r="A2" s="11" t="s">
        <x:v>329</x:v>
      </x:c>
      <x:c r="B2" s="11" t="s">
        <x:v>0</x:v>
      </x:c>
      <x:c r="C2" s="11" t="s">
        <x:v>330</x:v>
      </x:c>
      <x:c r="D2" s="11" t="s">
        <x:v>331</x:v>
      </x:c>
      <x:c r="E2" s="11" t="s">
        <x:v>11</x:v>
      </x:c>
      <x:c r="F2" s="11" t="s">
        <x:v>332</x:v>
      </x:c>
    </x:row>
    <x:row r="3" ht="15">
      <x:c r="A3" s="11" t="s">
        <x:v>329</x:v>
      </x:c>
      <x:c r="B3" s="11" t="s">
        <x:v>2</x:v>
      </x:c>
      <x:c r="C3" s="11" t="s">
        <x:v>333</x:v>
      </x:c>
      <x:c r="D3" s="11" t="s">
        <x:v>334</x:v>
      </x:c>
      <x:c r="E3" s="11" t="s">
        <x:v>335</x:v>
      </x:c>
      <x:c r="F3" s="11" t="s">
        <x:v>336</x:v>
      </x:c>
    </x:row>
    <x:row r="4" ht="30">
      <x:c r="A4" s="11" t="s">
        <x:v>329</x:v>
      </x:c>
      <x:c r="B4" s="11" t="s">
        <x:v>3</x:v>
      </x:c>
      <x:c r="C4" s="11" t="s">
        <x:v>337</x:v>
      </x:c>
      <x:c r="D4" s="11" t="s">
        <x:v>338</x:v>
      </x:c>
      <x:c r="E4" s="11" t="s">
        <x:v>339</x:v>
      </x:c>
      <x:c r="F4" s="11" t="s">
        <x:v>340</x:v>
      </x:c>
    </x:row>
    <x:row r="5" ht="30">
      <x:c r="A5" s="11" t="s">
        <x:v>329</x:v>
      </x:c>
      <x:c r="B5" s="11" t="s">
        <x:v>341</x:v>
      </x:c>
      <x:c r="C5" s="11" t="s">
        <x:v>342</x:v>
      </x:c>
      <x:c r="D5" s="11" t="s">
        <x:v>343</x:v>
      </x:c>
      <x:c r="E5" s="11" t="s">
        <x:v>344</x:v>
      </x:c>
      <x:c r="F5" s="11" t="s">
        <x:v>345</x:v>
      </x:c>
    </x:row>
    <x:row r="6" ht="30">
      <x:c r="A6" s="11" t="s">
        <x:v>329</x:v>
      </x:c>
      <x:c r="B6" s="11" t="s">
        <x:v>4</x:v>
      </x:c>
      <x:c r="C6" s="11" t="s">
        <x:v>346</x:v>
      </x:c>
      <x:c r="D6" s="11" t="s">
        <x:v>338</x:v>
      </x:c>
      <x:c r="E6" s="11" t="s">
        <x:v>347</x:v>
      </x:c>
      <x:c r="F6" s="11" t="s">
        <x:v>348</x:v>
      </x:c>
    </x:row>
    <x:row r="7" ht="30">
      <x:c r="A7" s="11" t="s">
        <x:v>329</x:v>
      </x:c>
      <x:c r="B7" s="11" t="s">
        <x:v>5</x:v>
      </x:c>
      <x:c r="C7" s="11" t="s">
        <x:v>349</x:v>
      </x:c>
      <x:c r="D7" s="11" t="s">
        <x:v>343</x:v>
      </x:c>
      <x:c r="E7" s="11" t="s">
        <x:v>350</x:v>
      </x:c>
      <x:c r="F7" s="11" t="s">
        <x:v>351</x:v>
      </x:c>
    </x:row>
    <x:row r="8" ht="15">
      <x:c r="A8" s="11" t="s">
        <x:v>352</x:v>
      </x:c>
      <x:c r="B8" s="11" t="s">
        <x:v>63</x:v>
      </x:c>
      <x:c r="C8" s="11" t="s">
        <x:v>353</x:v>
      </x:c>
      <x:c r="D8" s="11" t="s">
        <x:v>331</x:v>
      </x:c>
      <x:c r="E8" s="11" t="s">
        <x:v>78</x:v>
      </x:c>
      <x:c r="F8" s="11" t="s">
        <x:v>354</x:v>
      </x:c>
    </x:row>
    <x:row r="9" ht="15">
      <x:c r="A9" s="11" t="s">
        <x:v>352</x:v>
      </x:c>
      <x:c r="B9" s="11" t="s">
        <x:v>64</x:v>
      </x:c>
      <x:c r="C9" s="11" t="s">
        <x:v>355</x:v>
      </x:c>
      <x:c r="D9" s="11" t="s">
        <x:v>356</x:v>
      </x:c>
      <x:c r="E9" s="11" t="s">
        <x:v>357</x:v>
      </x:c>
      <x:c r="F9" s="11" t="s">
        <x:v>358</x:v>
      </x:c>
    </x:row>
    <x:row r="10" ht="15">
      <x:c r="A10" s="11" t="s">
        <x:v>352</x:v>
      </x:c>
      <x:c r="B10" s="11" t="s">
        <x:v>65</x:v>
      </x:c>
      <x:c r="C10" s="11" t="s">
        <x:v>359</x:v>
      </x:c>
      <x:c r="D10" s="11" t="s">
        <x:v>360</x:v>
      </x:c>
      <x:c r="E10" s="11" t="s">
        <x:v>361</x:v>
      </x:c>
      <x:c r="F10" s="11" t="s">
        <x:v>362</x:v>
      </x:c>
    </x:row>
    <x:row r="11" ht="15">
      <x:c r="A11" s="11" t="s">
        <x:v>352</x:v>
      </x:c>
      <x:c r="B11" s="11" t="s">
        <x:v>66</x:v>
      </x:c>
      <x:c r="C11" s="11" t="s">
        <x:v>363</x:v>
      </x:c>
      <x:c r="D11" s="11" t="s">
        <x:v>364</x:v>
      </x:c>
      <x:c r="E11" s="11" t="s">
        <x:v>365</x:v>
      </x:c>
      <x:c r="F11" s="11" t="s">
        <x:v>366</x:v>
      </x:c>
    </x:row>
    <x:row r="12" ht="15">
      <x:c r="A12" s="11" t="s">
        <x:v>352</x:v>
      </x:c>
      <x:c r="B12" s="11" t="s">
        <x:v>67</x:v>
      </x:c>
      <x:c r="C12" s="11" t="s">
        <x:v>367</x:v>
      </x:c>
      <x:c r="D12" s="11" t="s">
        <x:v>331</x:v>
      </x:c>
      <x:c r="E12" s="11" t="s">
        <x:v>79</x:v>
      </x:c>
      <x:c r="F12" s="11" t="s">
        <x:v>368</x:v>
      </x:c>
    </x:row>
    <x:row r="13" ht="15">
      <x:c r="A13" s="11" t="s">
        <x:v>352</x:v>
      </x:c>
      <x:c r="B13" s="11" t="s">
        <x:v>68</x:v>
      </x:c>
      <x:c r="C13" s="11" t="s">
        <x:v>369</x:v>
      </x:c>
      <x:c r="D13" s="11" t="s">
        <x:v>331</x:v>
      </x:c>
      <x:c r="E13" s="11" t="s">
        <x:v>370</x:v>
      </x:c>
      <x:c r="F13" s="11" t="s">
        <x:v>371</x:v>
      </x:c>
    </x:row>
    <x:row r="14" ht="15">
      <x:c r="A14" s="11" t="s">
        <x:v>352</x:v>
      </x:c>
      <x:c r="B14" s="11" t="s">
        <x:v>70</x:v>
      </x:c>
      <x:c r="C14" s="11" t="s">
        <x:v>372</x:v>
      </x:c>
      <x:c r="D14" s="11" t="s">
        <x:v>373</x:v>
      </x:c>
      <x:c r="E14" s="11" t="s">
        <x:v>82</x:v>
      </x:c>
      <x:c r="F14" s="11" t="s">
        <x:v>374</x:v>
      </x:c>
    </x:row>
    <x:row r="15" ht="15">
      <x:c r="A15" s="11" t="s">
        <x:v>352</x:v>
      </x:c>
      <x:c r="B15" s="11" t="s">
        <x:v>71</x:v>
      </x:c>
      <x:c r="C15" s="11" t="s">
        <x:v>375</x:v>
      </x:c>
      <x:c r="D15" s="11" t="s">
        <x:v>376</x:v>
      </x:c>
      <x:c r="E15" s="11" t="s">
        <x:v>377</x:v>
      </x:c>
      <x:c r="F15" s="11" t="s">
        <x:v>378</x:v>
      </x:c>
    </x:row>
    <x:row r="16" ht="15">
      <x:c r="A16" s="11" t="s">
        <x:v>352</x:v>
      </x:c>
      <x:c r="B16" s="11" t="s">
        <x:v>72</x:v>
      </x:c>
      <x:c r="C16" s="11" t="s">
        <x:v>379</x:v>
      </x:c>
      <x:c r="D16" s="11" t="s">
        <x:v>380</x:v>
      </x:c>
      <x:c r="E16" s="11" t="s">
        <x:v>381</x:v>
      </x:c>
      <x:c r="F16" s="11" t="s">
        <x:v>382</x:v>
      </x:c>
    </x:row>
    <x:row r="17" ht="15">
      <x:c r="A17" s="11" t="s">
        <x:v>352</x:v>
      </x:c>
      <x:c r="B17" s="11" t="s">
        <x:v>73</x:v>
      </x:c>
      <x:c r="C17" s="11" t="s">
        <x:v>383</x:v>
      </x:c>
      <x:c r="D17" s="11" t="s">
        <x:v>384</x:v>
      </x:c>
      <x:c r="E17" s="11" t="s">
        <x:v>381</x:v>
      </x:c>
      <x:c r="F17" s="11" t="s">
        <x:v>385</x:v>
      </x:c>
    </x:row>
    <x:row r="18" ht="15">
      <x:c r="A18" s="11" t="s">
        <x:v>352</x:v>
      </x:c>
      <x:c r="B18" s="11" t="s">
        <x:v>75</x:v>
      </x:c>
      <x:c r="C18" s="11" t="s">
        <x:v>386</x:v>
      </x:c>
      <x:c r="D18" s="11" t="s">
        <x:v>338</x:v>
      </x:c>
      <x:c r="E18" s="11" t="s">
        <x:v>387</x:v>
      </x:c>
      <x:c r="F18" s="11" t="s">
        <x:v>388</x:v>
      </x:c>
    </x:row>
    <x:row r="19" ht="15">
      <x:c r="A19" s="11" t="s">
        <x:v>389</x:v>
      </x:c>
      <x:c r="B19" s="11" t="s">
        <x:v>285</x:v>
      </x:c>
      <x:c r="C19" s="11" t="s">
        <x:v>390</x:v>
      </x:c>
      <x:c r="D19" s="11" t="s">
        <x:v>338</x:v>
      </x:c>
      <x:c r="E19" s="11" t="s">
        <x:v>391</x:v>
      </x:c>
      <x:c r="F19" s="11" t="s">
        <x:v>392</x:v>
      </x:c>
    </x:row>
    <x:row r="20" ht="15">
      <x:c r="A20" s="11" t="s">
        <x:v>389</x:v>
      </x:c>
      <x:c r="B20" s="11" t="s">
        <x:v>286</x:v>
      </x:c>
      <x:c r="C20" s="11" t="s">
        <x:v>393</x:v>
      </x:c>
      <x:c r="D20" s="11" t="s">
        <x:v>331</x:v>
      </x:c>
      <x:c r="E20" s="11" t="s">
        <x:v>394</x:v>
      </x:c>
      <x:c r="F20" s="11" t="s">
        <x:v>395</x:v>
      </x:c>
    </x:row>
    <x:row r="21" ht="15">
      <x:c r="A21" s="11" t="s">
        <x:v>389</x:v>
      </x:c>
      <x:c r="B21" s="11" t="s">
        <x:v>287</x:v>
      </x:c>
      <x:c r="C21" s="11" t="s">
        <x:v>396</x:v>
      </x:c>
      <x:c r="D21" s="11" t="s">
        <x:v>397</x:v>
      </x:c>
      <x:c r="E21" s="11" t="s">
        <x:v>398</x:v>
      </x:c>
      <x:c r="F21" s="11" t="s">
        <x:v>399</x:v>
      </x:c>
    </x:row>
    <x:row r="22" ht="15">
      <x:c r="A22" s="11" t="s">
        <x:v>389</x:v>
      </x:c>
      <x:c r="B22" s="11" t="s">
        <x:v>289</x:v>
      </x:c>
      <x:c r="C22" s="11" t="s">
        <x:v>400</x:v>
      </x:c>
      <x:c r="D22" s="11" t="s">
        <x:v>401</x:v>
      </x:c>
      <x:c r="E22" s="11" t="s">
        <x:v>398</x:v>
      </x:c>
      <x:c r="F22" s="11" t="s">
        <x:v>402</x:v>
      </x:c>
    </x:row>
    <x:row r="23" ht="15">
      <x:c r="A23" s="11" t="s">
        <x:v>389</x:v>
      </x:c>
      <x:c r="B23" s="11" t="s">
        <x:v>291</x:v>
      </x:c>
      <x:c r="C23" s="11" t="s">
        <x:v>403</x:v>
      </x:c>
      <x:c r="D23" s="11" t="s">
        <x:v>338</x:v>
      </x:c>
      <x:c r="E23" s="11" t="s">
        <x:v>404</x:v>
      </x:c>
      <x:c r="F23" s="11" t="s">
        <x:v>405</x:v>
      </x:c>
    </x:row>
    <x:row r="24" ht="15">
      <x:c r="A24" s="11" t="s">
        <x:v>389</x:v>
      </x:c>
      <x:c r="B24" s="11" t="s">
        <x:v>292</x:v>
      </x:c>
      <x:c r="C24" s="11" t="s">
        <x:v>406</x:v>
      </x:c>
      <x:c r="D24" s="11" t="s">
        <x:v>407</x:v>
      </x:c>
      <x:c r="E24" s="11" t="s">
        <x:v>398</x:v>
      </x:c>
      <x:c r="F24" s="11" t="s">
        <x:v>408</x:v>
      </x:c>
    </x:row>
    <x:row r="25" ht="15">
      <x:c r="A25" s="11" t="s">
        <x:v>389</x:v>
      </x:c>
      <x:c r="B25" s="11" t="s">
        <x:v>293</x:v>
      </x:c>
      <x:c r="C25" s="11" t="s">
        <x:v>409</x:v>
      </x:c>
      <x:c r="D25" s="11" t="s">
        <x:v>338</x:v>
      </x:c>
      <x:c r="E25" s="11" t="s">
        <x:v>410</x:v>
      </x:c>
      <x:c r="F25" s="11" t="s">
        <x:v>411</x:v>
      </x:c>
    </x:row>
    <x:row r="26" ht="15">
      <x:c r="A26" s="11" t="s">
        <x:v>389</x:v>
      </x:c>
      <x:c r="B26" s="11" t="s">
        <x:v>294</x:v>
      </x:c>
      <x:c r="C26" s="11" t="s">
        <x:v>412</x:v>
      </x:c>
      <x:c r="D26" s="11" t="s">
        <x:v>356</x:v>
      </x:c>
      <x:c r="E26" s="11" t="s">
        <x:v>413</x:v>
      </x:c>
      <x:c r="F26" s="11" t="s">
        <x:v>414</x:v>
      </x:c>
    </x:row>
    <x:row r="27" ht="15">
      <x:c r="A27" s="11" t="s">
        <x:v>389</x:v>
      </x:c>
      <x:c r="B27" s="11" t="s">
        <x:v>415</x:v>
      </x:c>
      <x:c r="C27" s="11" t="s">
        <x:v>416</x:v>
      </x:c>
      <x:c r="D27" s="11" t="s">
        <x:v>417</x:v>
      </x:c>
      <x:c r="E27" s="11" t="s">
        <x:v>418</x:v>
      </x:c>
      <x:c r="F27" s="11" t="s">
        <x:v>419</x:v>
      </x:c>
    </x:row>
    <x:row r="28" ht="30">
      <x:c r="A28" s="11" t="s">
        <x:v>420</x:v>
      </x:c>
      <x:c r="B28" s="11" t="s">
        <x:v>1</x:v>
      </x:c>
      <x:c r="C28" s="11" t="s">
        <x:v>421</x:v>
      </x:c>
      <x:c r="D28" s="11" t="s">
        <x:v>338</x:v>
      </x:c>
      <x:c r="E28" s="11" t="s">
        <x:v>422</x:v>
      </x:c>
      <x:c r="F28" s="11" t="s">
        <x:v>423</x:v>
      </x:c>
    </x:row>
  </x:sheetData>
  <x:pageMargins left="0.7" right="0.7" top="0.75" bottom="0.75" header="0.3" footer="0.3"/>
  <x:tableParts count="1">
    <x:tablePart xmlns:r="http://schemas.openxmlformats.org/officeDocument/2006/relationships" r:id="R3e567570e20e44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</x:cols>
  <x:sheetData>
    <x:row r="1">
      <x:c r="A1" s="19" t="str">
        <x:v>PiBE-FAST participant workbook audit</x:v>
      </x:c>
      <x:c r="B1" s="19"/>
      <x:c r="C1" s="19"/>
      <x:c r="D1" s="19"/>
      <x:c r="E1" s="19"/>
      <x:c r="F1" s="19"/>
    </x:row>
    <x:row r="3">
      <x:c r="A3" s="23" t="str">
        <x:v>Item</x:v>
      </x:c>
      <x:c r="B3" s="24" t="str">
        <x:v>Value</x:v>
      </x:c>
    </x:row>
    <x:row r="4">
      <x:c r="A4" s="25" t="str">
        <x:v>Source file</x:v>
      </x:c>
      <x:c r="B4" s="29" t="str">
        <x:v>participant.xlsx</x:v>
      </x:c>
    </x:row>
    <x:row r="5">
      <x:c r="A5" s="25" t="str">
        <x:v>Source SHA-256</x:v>
      </x:c>
      <x:c r="B5" s="29" t="str">
        <x:v>6824a935ace7a5cef66b49d3d7b685f7c8bb860688ca8ce62f305ce217787afa</x:v>
      </x:c>
    </x:row>
    <x:row r="6">
      <x:c r="A6" s="25" t="str">
        <x:v>Direct identifiers detected</x:v>
      </x:c>
      <x:c r="B6" s="29" t="str">
        <x:v>None in workbook fields</x:v>
      </x:c>
    </x:row>
    <x:row r="7">
      <x:c r="A7" s="25" t="str">
        <x:v>Participants</x:v>
      </x:c>
      <x:c r="B7" s="29" t="n">
        <x:v>40</x:v>
      </x:c>
    </x:row>
    <x:row r="8">
      <x:c r="A8" s="25" t="str">
        <x:v>Sessions</x:v>
      </x:c>
      <x:c r="B8" s="29" t="n">
        <x:v>200</x:v>
      </x:c>
    </x:row>
    <x:row r="9">
      <x:c r="A9" s="25" t="str">
        <x:v>Module records</x:v>
      </x:c>
      <x:c r="B9" s="29" t="n">
        <x:v>800</x:v>
      </x:c>
    </x:row>
    <x:row r="10">
      <x:c r="A10" s="27" t="str">
        <x:v>Modification scope</x:v>
      </x:c>
      <x:c r="B10" s="30" t="str">
        <x:v>Formula repair and audit sheet only; supplied measurements unchanged</x:v>
      </x:c>
    </x:row>
  </x:sheetData>
  <x:mergeCells>
    <x:mergeCell ref="A1:F1"/>
  </x:mergeCells>
  <x:pageMargins left="0.7" right="0.7" top="0.75" bottom="0.75" header="0.3" footer="0.3"/>
</x:worksheet>
</file>